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hidePivotFieldList="1"/>
  <mc:AlternateContent xmlns:mc="http://schemas.openxmlformats.org/markup-compatibility/2006">
    <mc:Choice Requires="x15">
      <x15ac:absPath xmlns:x15ac="http://schemas.microsoft.com/office/spreadsheetml/2010/11/ac" url="/Users/thai.trinh/Downloads/"/>
    </mc:Choice>
  </mc:AlternateContent>
  <xr:revisionPtr revIDLastSave="0" documentId="13_ncr:1_{AA181471-5635-5D46-818B-B24507EC2E38}" xr6:coauthVersionLast="47" xr6:coauthVersionMax="47" xr10:uidLastSave="{00000000-0000-0000-0000-000000000000}"/>
  <bookViews>
    <workbookView xWindow="-38400" yWindow="740" windowWidth="38400" windowHeight="21600" activeTab="3" xr2:uid="{00000000-000D-0000-FFFF-FFFF00000000}"/>
  </bookViews>
  <sheets>
    <sheet name="Mitarbeiter" sheetId="2" r:id="rId1"/>
    <sheet name="Geraete" sheetId="1" r:id="rId2"/>
    <sheet name="Ausleihen" sheetId="3" r:id="rId3"/>
    <sheet name="Geraete_Ausleihen" sheetId="4" r:id="rId4"/>
    <sheet name="Gesamt" sheetId="5" r:id="rId5"/>
    <sheet name="D1_Einsatz" sheetId="7" r:id="rId6"/>
    <sheet name="D2_Laptop" sheetId="8" r:id="rId7"/>
    <sheet name="Pivot" sheetId="15" r:id="rId8"/>
  </sheets>
  <calcPr calcId="191029"/>
  <pivotCaches>
    <pivotCache cacheId="1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E36" i="7"/>
  <c r="E6" i="7"/>
  <c r="E2" i="7"/>
  <c r="E18" i="7"/>
  <c r="D36" i="7"/>
  <c r="C36" i="7"/>
  <c r="B36" i="7"/>
  <c r="A36" i="7"/>
  <c r="D35" i="7"/>
  <c r="C35" i="7"/>
  <c r="B35" i="7"/>
  <c r="A35" i="7"/>
  <c r="E35" i="7" s="1"/>
  <c r="F35" i="7" s="1"/>
  <c r="D34" i="7"/>
  <c r="C34" i="7"/>
  <c r="B34" i="7"/>
  <c r="A34" i="7"/>
  <c r="E34" i="7" s="1"/>
  <c r="F34" i="7" s="1"/>
  <c r="D33" i="7"/>
  <c r="C33" i="7"/>
  <c r="B33" i="7"/>
  <c r="A33" i="7"/>
  <c r="E33" i="7" s="1"/>
  <c r="F33" i="7" s="1"/>
  <c r="D32" i="7"/>
  <c r="C32" i="7"/>
  <c r="B32" i="7"/>
  <c r="A32" i="7"/>
  <c r="E32" i="7" s="1"/>
  <c r="F32" i="7" s="1"/>
  <c r="D31" i="7"/>
  <c r="C31" i="7"/>
  <c r="B31" i="7"/>
  <c r="A31" i="7"/>
  <c r="E31" i="7" s="1"/>
  <c r="F31" i="7" s="1"/>
  <c r="D30" i="7"/>
  <c r="C30" i="7"/>
  <c r="B30" i="7"/>
  <c r="A30" i="7"/>
  <c r="E30" i="7" s="1"/>
  <c r="F30" i="7" s="1"/>
  <c r="D29" i="7"/>
  <c r="C29" i="7"/>
  <c r="B29" i="7"/>
  <c r="A29" i="7"/>
  <c r="E29" i="7" s="1"/>
  <c r="F29" i="7" s="1"/>
  <c r="D28" i="7"/>
  <c r="C28" i="7"/>
  <c r="B28" i="7"/>
  <c r="A28" i="7"/>
  <c r="E28" i="7" s="1"/>
  <c r="F28" i="7" s="1"/>
  <c r="D27" i="7"/>
  <c r="C27" i="7"/>
  <c r="B27" i="7"/>
  <c r="A27" i="7"/>
  <c r="E27" i="7" s="1"/>
  <c r="F27" i="7" s="1"/>
  <c r="D26" i="7"/>
  <c r="C26" i="7"/>
  <c r="B26" i="7"/>
  <c r="A26" i="7"/>
  <c r="E26" i="7" s="1"/>
  <c r="F26" i="7" s="1"/>
  <c r="D25" i="7"/>
  <c r="C25" i="7"/>
  <c r="B25" i="7"/>
  <c r="A25" i="7"/>
  <c r="E25" i="7" s="1"/>
  <c r="F25" i="7" s="1"/>
  <c r="D24" i="7"/>
  <c r="C24" i="7"/>
  <c r="B24" i="7"/>
  <c r="A24" i="7"/>
  <c r="E24" i="7" s="1"/>
  <c r="F24" i="7" s="1"/>
  <c r="D23" i="7"/>
  <c r="C23" i="7"/>
  <c r="B23" i="7"/>
  <c r="A23" i="7"/>
  <c r="E23" i="7" s="1"/>
  <c r="F23" i="7" s="1"/>
  <c r="D22" i="7"/>
  <c r="C22" i="7"/>
  <c r="B22" i="7"/>
  <c r="A22" i="7"/>
  <c r="E22" i="7" s="1"/>
  <c r="F22" i="7" s="1"/>
  <c r="D21" i="7"/>
  <c r="C21" i="7"/>
  <c r="B21" i="7"/>
  <c r="A21" i="7"/>
  <c r="E21" i="7" s="1"/>
  <c r="F21" i="7" s="1"/>
  <c r="D20" i="7"/>
  <c r="C20" i="7"/>
  <c r="B20" i="7"/>
  <c r="A20" i="7"/>
  <c r="E20" i="7" s="1"/>
  <c r="F20" i="7" s="1"/>
  <c r="D19" i="7"/>
  <c r="C19" i="7"/>
  <c r="B19" i="7"/>
  <c r="A19" i="7"/>
  <c r="E19" i="7" s="1"/>
  <c r="F19" i="7" s="1"/>
  <c r="D18" i="7"/>
  <c r="C18" i="7"/>
  <c r="B18" i="7"/>
  <c r="A18" i="7"/>
  <c r="D17" i="7"/>
  <c r="C17" i="7"/>
  <c r="B17" i="7"/>
  <c r="A17" i="7"/>
  <c r="E17" i="7" s="1"/>
  <c r="F17" i="7" s="1"/>
  <c r="D16" i="7"/>
  <c r="C16" i="7"/>
  <c r="B16" i="7"/>
  <c r="A16" i="7"/>
  <c r="E16" i="7" s="1"/>
  <c r="F16" i="7" s="1"/>
  <c r="D15" i="7"/>
  <c r="C15" i="7"/>
  <c r="B15" i="7"/>
  <c r="A15" i="7"/>
  <c r="E15" i="7" s="1"/>
  <c r="F15" i="7" s="1"/>
  <c r="D14" i="7"/>
  <c r="C14" i="7"/>
  <c r="B14" i="7"/>
  <c r="A14" i="7"/>
  <c r="E14" i="7" s="1"/>
  <c r="F14" i="7" s="1"/>
  <c r="D13" i="7"/>
  <c r="C13" i="7"/>
  <c r="B13" i="7"/>
  <c r="A13" i="7"/>
  <c r="E13" i="7" s="1"/>
  <c r="F13" i="7" s="1"/>
  <c r="D12" i="7"/>
  <c r="C12" i="7"/>
  <c r="B12" i="7"/>
  <c r="A12" i="7"/>
  <c r="E12" i="7" s="1"/>
  <c r="F12" i="7" s="1"/>
  <c r="D11" i="7"/>
  <c r="C11" i="7"/>
  <c r="B11" i="7"/>
  <c r="A11" i="7"/>
  <c r="E11" i="7" s="1"/>
  <c r="F11" i="7" s="1"/>
  <c r="D10" i="7"/>
  <c r="C10" i="7"/>
  <c r="B10" i="7"/>
  <c r="A10" i="7"/>
  <c r="E10" i="7" s="1"/>
  <c r="F10" i="7" s="1"/>
  <c r="D9" i="7"/>
  <c r="C9" i="7"/>
  <c r="B9" i="7"/>
  <c r="A9" i="7"/>
  <c r="E9" i="7" s="1"/>
  <c r="F9" i="7" s="1"/>
  <c r="D8" i="7"/>
  <c r="C8" i="7"/>
  <c r="B8" i="7"/>
  <c r="A8" i="7"/>
  <c r="E8" i="7" s="1"/>
  <c r="F8" i="7" s="1"/>
  <c r="D7" i="7"/>
  <c r="C7" i="7"/>
  <c r="B7" i="7"/>
  <c r="A7" i="7"/>
  <c r="E7" i="7" s="1"/>
  <c r="F7" i="7" s="1"/>
  <c r="D6" i="7"/>
  <c r="C6" i="7"/>
  <c r="B6" i="7"/>
  <c r="A6" i="7"/>
  <c r="D5" i="7"/>
  <c r="C5" i="7"/>
  <c r="B5" i="7"/>
  <c r="A5" i="7"/>
  <c r="E5" i="7" s="1"/>
  <c r="F5" i="7" s="1"/>
  <c r="D4" i="7"/>
  <c r="C4" i="7"/>
  <c r="B4" i="7"/>
  <c r="A4" i="7"/>
  <c r="E4" i="7" s="1"/>
  <c r="F4" i="7" s="1"/>
  <c r="D3" i="7"/>
  <c r="C3" i="7"/>
  <c r="B3" i="7"/>
  <c r="A3" i="7"/>
  <c r="E3" i="7" s="1"/>
  <c r="F3" i="7" s="1"/>
  <c r="D2" i="7"/>
  <c r="C2" i="7"/>
  <c r="B2" i="7"/>
  <c r="A2" i="7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L40" i="5"/>
  <c r="K40" i="5"/>
  <c r="J40" i="5"/>
  <c r="I40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I27" i="5"/>
  <c r="H27" i="5"/>
  <c r="G27" i="5"/>
  <c r="F27" i="5"/>
  <c r="E27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L13" i="5"/>
  <c r="K13" i="5"/>
  <c r="J13" i="5"/>
  <c r="I13" i="5"/>
  <c r="H13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D46" i="4"/>
  <c r="C46" i="4"/>
  <c r="B46" i="4"/>
  <c r="A46" i="4"/>
  <c r="D45" i="4"/>
  <c r="C45" i="4"/>
  <c r="B45" i="4"/>
  <c r="A45" i="4"/>
  <c r="I44" i="4"/>
  <c r="H44" i="4"/>
  <c r="G44" i="4"/>
  <c r="F44" i="4"/>
  <c r="E44" i="4"/>
  <c r="D44" i="4"/>
  <c r="C44" i="4"/>
  <c r="B44" i="4"/>
  <c r="A44" i="4"/>
  <c r="D43" i="4"/>
  <c r="C43" i="4"/>
  <c r="B43" i="4"/>
  <c r="A43" i="4"/>
  <c r="D42" i="4"/>
  <c r="C42" i="4"/>
  <c r="B42" i="4"/>
  <c r="A42" i="4"/>
  <c r="D41" i="4"/>
  <c r="C41" i="4"/>
  <c r="B41" i="4"/>
  <c r="A41" i="4"/>
  <c r="D40" i="4"/>
  <c r="C40" i="4"/>
  <c r="B40" i="4"/>
  <c r="A40" i="4"/>
  <c r="D39" i="4"/>
  <c r="C39" i="4"/>
  <c r="B39" i="4"/>
  <c r="A39" i="4"/>
  <c r="D38" i="4"/>
  <c r="C38" i="4"/>
  <c r="B38" i="4"/>
  <c r="A38" i="4"/>
  <c r="D37" i="4"/>
  <c r="C37" i="4"/>
  <c r="B37" i="4"/>
  <c r="A37" i="4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I26" i="4"/>
  <c r="H26" i="4"/>
  <c r="G26" i="4"/>
  <c r="F26" i="4"/>
  <c r="E26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I8" i="4"/>
  <c r="H8" i="4"/>
  <c r="G8" i="4"/>
  <c r="F8" i="4"/>
  <c r="E8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D4" i="4"/>
  <c r="C4" i="4"/>
  <c r="B4" i="4"/>
  <c r="A4" i="4"/>
  <c r="D3" i="4"/>
  <c r="C3" i="4"/>
  <c r="B3" i="4"/>
  <c r="A3" i="4"/>
  <c r="D2" i="4"/>
  <c r="C2" i="4"/>
  <c r="B2" i="4"/>
  <c r="A2" i="4"/>
  <c r="F36" i="7" l="1"/>
  <c r="F6" i="7"/>
  <c r="F2" i="7"/>
  <c r="F18" i="7"/>
  <c r="I5" i="7"/>
  <c r="I2" i="7"/>
  <c r="I4" i="7"/>
  <c r="L46" i="5"/>
  <c r="J46" i="5"/>
  <c r="K46" i="5"/>
  <c r="H46" i="5"/>
  <c r="E46" i="5"/>
  <c r="G46" i="5"/>
  <c r="F46" i="5"/>
  <c r="I46" i="5"/>
  <c r="K45" i="5"/>
  <c r="J45" i="5"/>
  <c r="L45" i="5"/>
  <c r="E45" i="5"/>
  <c r="F45" i="5"/>
  <c r="G45" i="5"/>
  <c r="I45" i="5"/>
  <c r="H45" i="5"/>
  <c r="L44" i="5"/>
  <c r="K44" i="5"/>
  <c r="J44" i="5"/>
  <c r="E44" i="5"/>
  <c r="F44" i="5"/>
  <c r="G44" i="5"/>
  <c r="H44" i="5"/>
  <c r="I44" i="5"/>
  <c r="K43" i="5"/>
  <c r="J43" i="5"/>
  <c r="L43" i="5"/>
  <c r="F43" i="5"/>
  <c r="G43" i="5"/>
  <c r="E43" i="5"/>
  <c r="I43" i="5"/>
  <c r="H43" i="5"/>
  <c r="K42" i="5"/>
  <c r="J42" i="5"/>
  <c r="L42" i="5"/>
  <c r="H42" i="5"/>
  <c r="I42" i="5"/>
  <c r="E42" i="5"/>
  <c r="G42" i="5"/>
  <c r="F42" i="5"/>
  <c r="J41" i="5"/>
  <c r="L41" i="5"/>
  <c r="K41" i="5"/>
  <c r="I41" i="5"/>
  <c r="E41" i="5"/>
  <c r="H41" i="5"/>
  <c r="G41" i="5"/>
  <c r="F41" i="5"/>
  <c r="H40" i="5"/>
  <c r="G40" i="5"/>
  <c r="F40" i="5"/>
  <c r="E40" i="5"/>
  <c r="K39" i="5"/>
  <c r="L39" i="5"/>
  <c r="J39" i="5"/>
  <c r="H39" i="5"/>
  <c r="G39" i="5"/>
  <c r="E39" i="5"/>
  <c r="F39" i="5"/>
  <c r="I39" i="5"/>
  <c r="J38" i="5"/>
  <c r="K38" i="5"/>
  <c r="L38" i="5"/>
  <c r="E38" i="5"/>
  <c r="F38" i="5"/>
  <c r="G38" i="5"/>
  <c r="H38" i="5"/>
  <c r="I38" i="5"/>
  <c r="J37" i="5"/>
  <c r="L37" i="5"/>
  <c r="K37" i="5"/>
  <c r="E37" i="5"/>
  <c r="F37" i="5"/>
  <c r="G37" i="5"/>
  <c r="H37" i="5"/>
  <c r="I37" i="5"/>
  <c r="L36" i="5"/>
  <c r="K36" i="5"/>
  <c r="J36" i="5"/>
  <c r="E36" i="5"/>
  <c r="F36" i="5"/>
  <c r="G36" i="5"/>
  <c r="H36" i="5"/>
  <c r="I36" i="5"/>
  <c r="J35" i="5"/>
  <c r="L35" i="5"/>
  <c r="K35" i="5"/>
  <c r="E35" i="5"/>
  <c r="H35" i="5"/>
  <c r="I35" i="5"/>
  <c r="F35" i="5"/>
  <c r="G35" i="5"/>
  <c r="J34" i="5"/>
  <c r="K34" i="5"/>
  <c r="L34" i="5"/>
  <c r="G34" i="5"/>
  <c r="F34" i="5"/>
  <c r="E34" i="5"/>
  <c r="H34" i="5"/>
  <c r="I34" i="5"/>
  <c r="L33" i="5"/>
  <c r="J33" i="5"/>
  <c r="K33" i="5"/>
  <c r="I33" i="5"/>
  <c r="H33" i="5"/>
  <c r="G33" i="5"/>
  <c r="F33" i="5"/>
  <c r="E33" i="5"/>
  <c r="J32" i="5"/>
  <c r="L32" i="5"/>
  <c r="K32" i="5"/>
  <c r="H32" i="5"/>
  <c r="I32" i="5"/>
  <c r="G32" i="5"/>
  <c r="F32" i="5"/>
  <c r="E32" i="5"/>
  <c r="L31" i="5"/>
  <c r="K31" i="5"/>
  <c r="J31" i="5"/>
  <c r="F31" i="5"/>
  <c r="E31" i="5"/>
  <c r="I31" i="5"/>
  <c r="H31" i="5"/>
  <c r="G31" i="5"/>
  <c r="K30" i="5"/>
  <c r="L30" i="5"/>
  <c r="J30" i="5"/>
  <c r="I30" i="5"/>
  <c r="H30" i="5"/>
  <c r="G30" i="5"/>
  <c r="F30" i="5"/>
  <c r="E30" i="5"/>
  <c r="L29" i="5"/>
  <c r="K29" i="5"/>
  <c r="J29" i="5"/>
  <c r="E29" i="5"/>
  <c r="I29" i="5"/>
  <c r="H29" i="5"/>
  <c r="G29" i="5"/>
  <c r="F29" i="5"/>
  <c r="L28" i="5"/>
  <c r="K28" i="5"/>
  <c r="J28" i="5"/>
  <c r="F28" i="5"/>
  <c r="I28" i="5"/>
  <c r="H28" i="5"/>
  <c r="G28" i="5"/>
  <c r="E28" i="5"/>
  <c r="J27" i="5"/>
  <c r="K27" i="5"/>
  <c r="L27" i="5"/>
  <c r="L26" i="5"/>
  <c r="J26" i="5"/>
  <c r="K26" i="5"/>
  <c r="H26" i="5"/>
  <c r="G26" i="5"/>
  <c r="E26" i="5"/>
  <c r="F26" i="5"/>
  <c r="I26" i="5"/>
  <c r="K25" i="5"/>
  <c r="J25" i="5"/>
  <c r="L25" i="5"/>
  <c r="H25" i="5"/>
  <c r="E25" i="5"/>
  <c r="F25" i="5"/>
  <c r="G25" i="5"/>
  <c r="I25" i="5"/>
  <c r="L24" i="5"/>
  <c r="K24" i="5"/>
  <c r="J24" i="5"/>
  <c r="H24" i="5"/>
  <c r="E24" i="5"/>
  <c r="G24" i="5"/>
  <c r="F24" i="5"/>
  <c r="I24" i="5"/>
  <c r="L23" i="5"/>
  <c r="K23" i="5"/>
  <c r="J23" i="5"/>
  <c r="E23" i="5"/>
  <c r="H23" i="5"/>
  <c r="F23" i="5"/>
  <c r="G23" i="5"/>
  <c r="I23" i="5"/>
  <c r="L22" i="5"/>
  <c r="J22" i="5"/>
  <c r="K22" i="5"/>
  <c r="E22" i="5"/>
  <c r="I22" i="5"/>
  <c r="H22" i="5"/>
  <c r="G22" i="5"/>
  <c r="F22" i="5"/>
  <c r="L21" i="5"/>
  <c r="J21" i="5"/>
  <c r="K21" i="5"/>
  <c r="E21" i="5"/>
  <c r="G21" i="5"/>
  <c r="I21" i="5"/>
  <c r="H21" i="5"/>
  <c r="F21" i="5"/>
  <c r="L20" i="5"/>
  <c r="K20" i="5"/>
  <c r="J20" i="5"/>
  <c r="I20" i="5"/>
  <c r="H20" i="5"/>
  <c r="G20" i="5"/>
  <c r="E20" i="5"/>
  <c r="F20" i="5"/>
  <c r="K19" i="5"/>
  <c r="L19" i="5"/>
  <c r="J19" i="5"/>
  <c r="I19" i="5"/>
  <c r="G19" i="5"/>
  <c r="E19" i="5"/>
  <c r="F19" i="5"/>
  <c r="H19" i="5"/>
  <c r="J18" i="5"/>
  <c r="L18" i="5"/>
  <c r="K18" i="5"/>
  <c r="H18" i="5"/>
  <c r="I18" i="5"/>
  <c r="G18" i="5"/>
  <c r="F18" i="5"/>
  <c r="E18" i="5"/>
  <c r="L17" i="5"/>
  <c r="K17" i="5"/>
  <c r="J17" i="5"/>
  <c r="I17" i="5"/>
  <c r="G17" i="5"/>
  <c r="E17" i="5"/>
  <c r="F17" i="5"/>
  <c r="H17" i="5"/>
  <c r="K16" i="5"/>
  <c r="J16" i="5"/>
  <c r="L16" i="5"/>
  <c r="I16" i="5"/>
  <c r="E16" i="5"/>
  <c r="G16" i="5"/>
  <c r="H16" i="5"/>
  <c r="F16" i="5"/>
  <c r="J15" i="5"/>
  <c r="K15" i="5"/>
  <c r="L15" i="5"/>
  <c r="E15" i="5"/>
  <c r="G15" i="5"/>
  <c r="I15" i="5"/>
  <c r="F15" i="5"/>
  <c r="H15" i="5"/>
  <c r="K14" i="5"/>
  <c r="J14" i="5"/>
  <c r="L14" i="5"/>
  <c r="G14" i="5"/>
  <c r="F14" i="5"/>
  <c r="I14" i="5"/>
  <c r="E14" i="5"/>
  <c r="H14" i="5"/>
  <c r="G13" i="5"/>
  <c r="F13" i="5"/>
  <c r="E13" i="5"/>
  <c r="K12" i="5"/>
  <c r="J12" i="5"/>
  <c r="L12" i="5"/>
  <c r="I12" i="5"/>
  <c r="H12" i="5"/>
  <c r="G12" i="5"/>
  <c r="F12" i="5"/>
  <c r="E12" i="5"/>
  <c r="J11" i="5"/>
  <c r="L11" i="5"/>
  <c r="K11" i="5"/>
  <c r="E11" i="5"/>
  <c r="F11" i="5"/>
  <c r="G11" i="5"/>
  <c r="H11" i="5"/>
  <c r="I11" i="5"/>
  <c r="L10" i="5"/>
  <c r="K10" i="5"/>
  <c r="J10" i="5"/>
  <c r="I10" i="5"/>
  <c r="H10" i="5"/>
  <c r="G10" i="5"/>
  <c r="F10" i="5"/>
  <c r="E10" i="5"/>
  <c r="J9" i="5"/>
  <c r="K9" i="5"/>
  <c r="L9" i="5"/>
  <c r="E9" i="5"/>
  <c r="I9" i="5"/>
  <c r="H9" i="5"/>
  <c r="F9" i="5"/>
  <c r="G9" i="5"/>
  <c r="K8" i="5"/>
  <c r="J8" i="5"/>
  <c r="L8" i="5"/>
  <c r="F8" i="5"/>
  <c r="G8" i="5"/>
  <c r="H8" i="5"/>
  <c r="I8" i="5"/>
  <c r="E8" i="5"/>
  <c r="L7" i="5"/>
  <c r="K7" i="5"/>
  <c r="J7" i="5"/>
  <c r="I7" i="5"/>
  <c r="H7" i="5"/>
  <c r="G7" i="5"/>
  <c r="F7" i="5"/>
  <c r="E7" i="5"/>
  <c r="L6" i="5"/>
  <c r="K6" i="5"/>
  <c r="J6" i="5"/>
  <c r="F6" i="5"/>
  <c r="E6" i="5"/>
  <c r="I6" i="5"/>
  <c r="H6" i="5"/>
  <c r="G6" i="5"/>
  <c r="J5" i="5"/>
  <c r="L5" i="5"/>
  <c r="K5" i="5"/>
  <c r="I5" i="5"/>
  <c r="H5" i="5"/>
  <c r="G5" i="5"/>
  <c r="F5" i="5"/>
  <c r="E5" i="5"/>
  <c r="L4" i="5"/>
  <c r="K4" i="5"/>
  <c r="J4" i="5"/>
  <c r="I4" i="5"/>
  <c r="H4" i="5"/>
  <c r="G4" i="5"/>
  <c r="F4" i="5"/>
  <c r="E4" i="5"/>
  <c r="L3" i="5"/>
  <c r="K3" i="5"/>
  <c r="J3" i="5"/>
  <c r="E3" i="5"/>
  <c r="G3" i="5"/>
  <c r="I3" i="5"/>
  <c r="H3" i="5"/>
  <c r="F3" i="5"/>
  <c r="L2" i="5"/>
  <c r="K2" i="5"/>
  <c r="J2" i="5"/>
  <c r="H2" i="5"/>
  <c r="G2" i="5"/>
  <c r="F2" i="5"/>
  <c r="E2" i="5"/>
  <c r="I2" i="5"/>
  <c r="H46" i="4"/>
  <c r="E46" i="4"/>
  <c r="I46" i="4"/>
  <c r="G46" i="4"/>
  <c r="F46" i="4"/>
  <c r="E45" i="4"/>
  <c r="I45" i="4"/>
  <c r="G45" i="4"/>
  <c r="H45" i="4"/>
  <c r="F45" i="4"/>
  <c r="E43" i="4"/>
  <c r="I43" i="4"/>
  <c r="H43" i="4"/>
  <c r="G43" i="4"/>
  <c r="F43" i="4"/>
  <c r="I42" i="4"/>
  <c r="H42" i="4"/>
  <c r="G42" i="4"/>
  <c r="F42" i="4"/>
  <c r="E42" i="4"/>
  <c r="I41" i="4"/>
  <c r="H41" i="4"/>
  <c r="G41" i="4"/>
  <c r="F41" i="4"/>
  <c r="E41" i="4"/>
  <c r="I40" i="4"/>
  <c r="H40" i="4"/>
  <c r="G40" i="4"/>
  <c r="F40" i="4"/>
  <c r="E40" i="4"/>
  <c r="E39" i="4"/>
  <c r="F39" i="4"/>
  <c r="I39" i="4"/>
  <c r="H39" i="4"/>
  <c r="G39" i="4"/>
  <c r="H38" i="4"/>
  <c r="G38" i="4"/>
  <c r="F38" i="4"/>
  <c r="E38" i="4"/>
  <c r="I38" i="4"/>
  <c r="G37" i="4"/>
  <c r="I37" i="4"/>
  <c r="E37" i="4"/>
  <c r="F37" i="4"/>
  <c r="H37" i="4"/>
  <c r="F36" i="4"/>
  <c r="G36" i="4"/>
  <c r="E36" i="4"/>
  <c r="I36" i="4"/>
  <c r="H36" i="4"/>
  <c r="I35" i="4"/>
  <c r="H35" i="4"/>
  <c r="G35" i="4"/>
  <c r="F35" i="4"/>
  <c r="E35" i="4"/>
  <c r="I34" i="4"/>
  <c r="H34" i="4"/>
  <c r="G34" i="4"/>
  <c r="F34" i="4"/>
  <c r="E34" i="4"/>
  <c r="I33" i="4"/>
  <c r="E33" i="4"/>
  <c r="F33" i="4"/>
  <c r="G33" i="4"/>
  <c r="H33" i="4"/>
  <c r="E32" i="4"/>
  <c r="F32" i="4"/>
  <c r="G32" i="4"/>
  <c r="H32" i="4"/>
  <c r="I32" i="4"/>
  <c r="I31" i="4"/>
  <c r="H31" i="4"/>
  <c r="G31" i="4"/>
  <c r="F31" i="4"/>
  <c r="E31" i="4"/>
  <c r="I30" i="4"/>
  <c r="H30" i="4"/>
  <c r="G30" i="4"/>
  <c r="F30" i="4"/>
  <c r="E30" i="4"/>
  <c r="I29" i="4"/>
  <c r="H29" i="4"/>
  <c r="G29" i="4"/>
  <c r="F29" i="4"/>
  <c r="E29" i="4"/>
  <c r="H28" i="4"/>
  <c r="I28" i="4"/>
  <c r="E28" i="4"/>
  <c r="F28" i="4"/>
  <c r="G28" i="4"/>
  <c r="F27" i="4"/>
  <c r="G27" i="4"/>
  <c r="H27" i="4"/>
  <c r="I27" i="4"/>
  <c r="E27" i="4"/>
  <c r="E25" i="4"/>
  <c r="I25" i="4"/>
  <c r="H25" i="4"/>
  <c r="G25" i="4"/>
  <c r="F25" i="4"/>
  <c r="F24" i="4"/>
  <c r="E24" i="4"/>
  <c r="I24" i="4"/>
  <c r="H24" i="4"/>
  <c r="G24" i="4"/>
  <c r="E23" i="4"/>
  <c r="F23" i="4"/>
  <c r="H23" i="4"/>
  <c r="I23" i="4"/>
  <c r="G23" i="4"/>
  <c r="I22" i="4"/>
  <c r="F22" i="4"/>
  <c r="E22" i="4"/>
  <c r="G22" i="4"/>
  <c r="H22" i="4"/>
  <c r="I21" i="4"/>
  <c r="G21" i="4"/>
  <c r="H21" i="4"/>
  <c r="F21" i="4"/>
  <c r="E21" i="4"/>
  <c r="E20" i="4"/>
  <c r="G20" i="4"/>
  <c r="F20" i="4"/>
  <c r="H20" i="4"/>
  <c r="I20" i="4"/>
  <c r="E19" i="4"/>
  <c r="H19" i="4"/>
  <c r="F19" i="4"/>
  <c r="G19" i="4"/>
  <c r="I19" i="4"/>
  <c r="G18" i="4"/>
  <c r="I18" i="4"/>
  <c r="E18" i="4"/>
  <c r="F18" i="4"/>
  <c r="H18" i="4"/>
  <c r="I17" i="4"/>
  <c r="G17" i="4"/>
  <c r="F17" i="4"/>
  <c r="H17" i="4"/>
  <c r="E17" i="4"/>
  <c r="E16" i="4"/>
  <c r="I16" i="4"/>
  <c r="G16" i="4"/>
  <c r="H16" i="4"/>
  <c r="F16" i="4"/>
  <c r="G15" i="4"/>
  <c r="I15" i="4"/>
  <c r="H15" i="4"/>
  <c r="F15" i="4"/>
  <c r="E15" i="4"/>
  <c r="I14" i="4"/>
  <c r="H14" i="4"/>
  <c r="F14" i="4"/>
  <c r="G14" i="4"/>
  <c r="E14" i="4"/>
  <c r="H13" i="4"/>
  <c r="I13" i="4"/>
  <c r="G13" i="4"/>
  <c r="E13" i="4"/>
  <c r="F13" i="4"/>
  <c r="I12" i="4"/>
  <c r="G12" i="4"/>
  <c r="E12" i="4"/>
  <c r="F12" i="4"/>
  <c r="H12" i="4"/>
  <c r="E11" i="4"/>
  <c r="G11" i="4"/>
  <c r="F11" i="4"/>
  <c r="H11" i="4"/>
  <c r="I11" i="4"/>
  <c r="I10" i="4"/>
  <c r="G10" i="4"/>
  <c r="E10" i="4"/>
  <c r="F10" i="4"/>
  <c r="H10" i="4"/>
  <c r="E9" i="4"/>
  <c r="G9" i="4"/>
  <c r="H9" i="4"/>
  <c r="F9" i="4"/>
  <c r="I9" i="4"/>
  <c r="I7" i="4"/>
  <c r="H7" i="4"/>
  <c r="G7" i="4"/>
  <c r="F7" i="4"/>
  <c r="E7" i="4"/>
  <c r="H6" i="4"/>
  <c r="I6" i="4"/>
  <c r="G6" i="4"/>
  <c r="F6" i="4"/>
  <c r="E6" i="4"/>
  <c r="G5" i="4"/>
  <c r="E5" i="4"/>
  <c r="F5" i="4"/>
  <c r="H5" i="4"/>
  <c r="I5" i="4"/>
  <c r="I4" i="4"/>
  <c r="H4" i="4"/>
  <c r="G4" i="4"/>
  <c r="F4" i="4"/>
  <c r="E4" i="4"/>
  <c r="I3" i="4"/>
  <c r="H3" i="4"/>
  <c r="G3" i="4"/>
  <c r="F3" i="4"/>
  <c r="E3" i="4"/>
  <c r="I2" i="4"/>
  <c r="H2" i="4"/>
  <c r="G2" i="4"/>
  <c r="F2" i="4"/>
  <c r="E2" i="4"/>
</calcChain>
</file>

<file path=xl/sharedStrings.xml><?xml version="1.0" encoding="utf-8"?>
<sst xmlns="http://schemas.openxmlformats.org/spreadsheetml/2006/main" count="378" uniqueCount="105">
  <si>
    <t>Gerätenummer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</si>
  <si>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</si>
  <si>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</si>
  <si>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</si>
  <si>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</si>
  <si>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</si>
  <si>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</si>
  <si>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</si>
  <si>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</si>
  <si>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</si>
  <si>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</si>
  <si>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</si>
  <si>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</si>
  <si>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</si>
  <si>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</si>
  <si>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G0004</t>
  </si>
  <si>
    <t>Laptop</t>
  </si>
  <si>
    <t>Dell XPS</t>
  </si>
  <si>
    <t>G0005</t>
  </si>
  <si>
    <t>Drucker</t>
  </si>
  <si>
    <t>Canon Pixma</t>
  </si>
  <si>
    <t>G0006</t>
  </si>
  <si>
    <t>Smartphone</t>
  </si>
  <si>
    <t>Samsung S21</t>
  </si>
  <si>
    <t>G0007</t>
  </si>
  <si>
    <t>Lenovo ThinkPad</t>
  </si>
  <si>
    <t>Hamburg</t>
  </si>
  <si>
    <t>G0008</t>
  </si>
  <si>
    <t>Beamer</t>
  </si>
  <si>
    <t>Epson EB</t>
  </si>
  <si>
    <t>G0009</t>
  </si>
  <si>
    <t>G0010</t>
  </si>
  <si>
    <t>G0011</t>
  </si>
  <si>
    <t>Brother HL</t>
  </si>
  <si>
    <t>G0012</t>
  </si>
  <si>
    <t>G0013</t>
  </si>
  <si>
    <t>G0014</t>
  </si>
  <si>
    <t>G0015</t>
  </si>
  <si>
    <t>iPhone 13</t>
  </si>
  <si>
    <t>G0016</t>
  </si>
  <si>
    <t>G0017</t>
  </si>
  <si>
    <t>G0018</t>
  </si>
  <si>
    <t>G0019</t>
  </si>
  <si>
    <t>HP LaserJet</t>
  </si>
  <si>
    <t>G0020</t>
  </si>
  <si>
    <t>G0021</t>
  </si>
  <si>
    <t>Monitor</t>
  </si>
  <si>
    <t>Samsung Curved</t>
  </si>
  <si>
    <t>G0022</t>
  </si>
  <si>
    <t>G0023</t>
  </si>
  <si>
    <t>G0024</t>
  </si>
  <si>
    <t>Dell UltraSharp</t>
  </si>
  <si>
    <t>G0025</t>
  </si>
  <si>
    <t>G0026</t>
  </si>
  <si>
    <t>G0027</t>
  </si>
  <si>
    <t>G0028</t>
  </si>
  <si>
    <t>G0029</t>
  </si>
  <si>
    <t>G0030</t>
  </si>
  <si>
    <t>G0031</t>
  </si>
  <si>
    <t>HP EliteBook</t>
  </si>
  <si>
    <t>G0032</t>
  </si>
  <si>
    <t>G0033</t>
  </si>
  <si>
    <t>BenQ MW550</t>
  </si>
  <si>
    <t>G0034</t>
  </si>
  <si>
    <t>G0035</t>
  </si>
  <si>
    <t>Mitarbeiter-ID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</si>
  <si>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</si>
  <si>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</si>
  <si>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</si>
  <si>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</si>
  <si>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</si>
  <si>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</si>
  <si>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</si>
  <si>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</si>
  <si>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</si>
  <si>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</si>
  <si>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</si>
  <si>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</si>
  <si>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</si>
  <si>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</si>
  <si>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</si>
  <si>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</si>
  <si>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</si>
  <si>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</si>
  <si>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Ausgabe am</t>
  </si>
  <si>
    <t>Rückgabe am</t>
  </si>
  <si>
    <t>Standort Gerät</t>
  </si>
  <si>
    <t>Standort Mitarbeiter</t>
  </si>
  <si>
    <t>Offene Ausleihen</t>
  </si>
  <si>
    <t>Status</t>
  </si>
  <si>
    <t>Auswertung</t>
  </si>
  <si>
    <t>Geräte nicht im Einsatz</t>
  </si>
  <si>
    <t>Gesamtwert nicht im Einsatz</t>
  </si>
  <si>
    <t>Geräte im Einsatz</t>
  </si>
  <si>
    <t>Gesamtwert im Einsatz</t>
  </si>
  <si>
    <t>Aufbau</t>
  </si>
  <si>
    <t>1. Spalte E zählt je Gerät die Ausleihen ohne Rückgabedatum (ZÄHLENWENNS auf Blatt Ausleihen, „Rückgabe am“ leer).</t>
  </si>
  <si>
    <t>2. Spalte F: mindestens eine offene Ausleihe = „im Einsatz“, sonst „nicht im Einsatz“.</t>
  </si>
  <si>
    <t>3. I3 summiert den Netto-Kaufpreis aller Geräte mit Status „nicht im Einsatz“ (SUMMEWENN).</t>
  </si>
  <si>
    <t>Annahme: leeres Rückgabedatum = Gerät ist noch ausgeliehen. Nie ausgeliehene Geräte zählen als nicht im Einsatz.</t>
  </si>
  <si>
    <t>Wert = Netto-Kaufpreis (Anschaffungswert, ohne Abschreibung).</t>
  </si>
  <si>
    <t>Row Labels</t>
  </si>
  <si>
    <t>Grand Total</t>
  </si>
  <si>
    <t>Column Labels</t>
  </si>
  <si>
    <t>Count of Gerätenummer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</si>
</sst>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4" fontId="1" fillId="0" borderId="0" xfId="0" applyNumberFormat="1" applyFon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[Geraeteverwaltung_schlicht_v3.xlsx]Pivot!PivotTable5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Pivot!$A$4:$A$10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Pivot!$B$4:$B$10</c:f>
              <c:numCache>
                <c:formatCode>General</c:formatCode>
                <c:ptCount val="6"/>
                <c:pt idx="0">
                  <c:v>12</c:v>
                </c:pt>
                <c:pt idx="1">
                  <c:v>12</c:v>
                </c:pt>
                <c:pt idx="2">
                  <c:v>10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3-A24E-B847-B10986FD2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279551"/>
        <c:axId val="1014624063"/>
      </c:barChart>
      <c:catAx>
        <c:axId val="100027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14624063"/>
        <c:crosses val="autoZero"/>
        <c:auto val="1"/>
        <c:lblAlgn val="ctr"/>
        <c:lblOffset val="100"/>
        <c:noMultiLvlLbl val="0"/>
      </c:catAx>
      <c:valAx>
        <c:axId val="101462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0027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[Geraeteverwaltung_schlicht_v3.xlsx]Pivot!PivotTable6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074137515845725E-2"/>
          <c:y val="0.19534820481405665"/>
          <c:w val="0.73200067244912337"/>
          <c:h val="0.72565065885535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Pivot!$G$3:$G$4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Pivot!$F$5:$F$11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Pivot!$G$5:$G$11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8-4D4E-83EF-0D61481E54EB}"/>
            </c:ext>
          </c:extLst>
        </c:ser>
        <c:ser>
          <c:idx val="1"/>
          <c:order val="1"/>
          <c:tx>
            <c:strRef>
              <c:f>Pivot!$H$3:$H$4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Pivot!$F$5:$F$11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Pivot!$H$5:$H$11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8-4D4E-83EF-0D61481E54EB}"/>
            </c:ext>
          </c:extLst>
        </c:ser>
        <c:ser>
          <c:idx val="2"/>
          <c:order val="2"/>
          <c:tx>
            <c:strRef>
              <c:f>Pivot!$I$3:$I$4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Pivot!$F$5:$F$11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Pivot!$I$5:$I$11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A8-4D4E-83EF-0D61481E5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7217087"/>
        <c:axId val="1027215295"/>
      </c:barChart>
      <c:catAx>
        <c:axId val="102721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27215295"/>
        <c:crosses val="autoZero"/>
        <c:auto val="1"/>
        <c:lblAlgn val="ctr"/>
        <c:lblOffset val="100"/>
        <c:noMultiLvlLbl val="0"/>
      </c:catAx>
      <c:valAx>
        <c:axId val="102721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2721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180975</xdr:rowOff>
    </xdr:from>
    <xdr:to>
      <xdr:col>4</xdr:col>
      <xdr:colOff>114300</xdr:colOff>
      <xdr:row>28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DF40BA-F5C6-DB1E-59E2-B3A1A8580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41274</xdr:colOff>
      <xdr:row>13</xdr:row>
      <xdr:rowOff>158750</xdr:rowOff>
    </xdr:from>
    <xdr:to>
      <xdr:col>11</xdr:col>
      <xdr:colOff>44449</xdr:colOff>
      <xdr:row>31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66CB78-EC26-8E69-8C7C-29C8748C7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nh, Thai" refreshedDate="46305.616260763891" createdVersion="8" refreshedVersion="8" minRefreshableVersion="3" recordCount="45" xr:uid="{D79F1D03-2611-A847-AABE-40BCEB64416C}">
  <cacheSource type="worksheet">
    <worksheetSource ref="A1:L46" sheet="Gesamt"/>
  </cacheSource>
  <cacheFields count="15">
    <cacheField name="Gerätenummer" numFmtId="0">
      <sharedItems count="23">
        <s v="G0035"/>
        <s v="G0021"/>
        <s v="G0024"/>
        <s v="G0016"/>
        <s v="G0006"/>
        <s v="G0005"/>
        <s v="G0009"/>
        <s v="G0011"/>
        <s v="G0028"/>
        <s v="G0013"/>
        <s v="G0029"/>
        <s v="G0015"/>
        <s v="G0022"/>
        <s v="G0018"/>
        <s v="G0031"/>
        <s v="G0027"/>
        <s v="G0030"/>
        <s v="G0007"/>
        <s v="G0004"/>
        <s v="G0025"/>
        <s v="G0032"/>
        <s v="G0014"/>
        <s v="G0033"/>
      </sharedItems>
    </cacheField>
    <cacheField name="Mitarbeiter-ID" numFmtId="0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 count="42">
        <d v="2024-05-09T00:00:00"/>
        <d v="2025-09-30T00:00:00"/>
        <d v="2025-03-27T00:00:00"/>
        <d v="2025-07-28T00:00:00"/>
        <d v="2025-05-31T00:00:00"/>
        <d v="2024-04-07T00:00:00"/>
        <d v="2025-07-12T00:00:00"/>
        <d v="2025-06-29T00:00:00"/>
        <d v="2024-08-19T00:00:00"/>
        <d v="2024-05-07T00:00:00"/>
        <d v="2024-03-24T00:00:00"/>
        <d v="2025-09-21T00:00:00"/>
        <d v="2025-08-23T00:00:00"/>
        <d v="2024-03-26T00:00:00"/>
        <d v="2024-11-03T00:00:00"/>
        <d v="2024-08-15T00:00:00"/>
        <d v="2025-08-30T00:00:00"/>
        <d v="2024-10-03T00:00:00"/>
        <d v="2024-05-05T00:00:00"/>
        <d v="2024-01-29T00:00:00"/>
        <d v="2024-04-21T00:00:00"/>
        <d v="2024-12-04T00:00:00"/>
        <d v="2025-05-15T00:00:00"/>
        <d v="2024-09-09T00:00:00"/>
        <d v="2024-07-20T00:00:00"/>
        <d v="2024-01-28T00:00:00"/>
        <d v="2024-10-30T00:00:00"/>
        <d v="2025-05-22T00:00:00"/>
        <d v="2025-08-11T00:00:00"/>
        <d v="2024-01-06T00:00:00"/>
        <d v="2024-02-08T00:00:00"/>
        <d v="2024-02-14T00:00:00"/>
        <d v="2025-06-19T00:00:00"/>
        <d v="2025-01-18T00:00:00"/>
        <d v="2023-12-01T00:00:00"/>
        <d v="2024-08-04T00:00:00"/>
        <d v="2024-11-26T00:00:00"/>
        <d v="2024-12-15T00:00:00"/>
        <d v="2025-03-24T00:00:00"/>
        <d v="2025-03-25T00:00:00"/>
        <d v="2025-05-18T00:00:00"/>
        <d v="2024-07-03T00:00:00"/>
      </sharedItems>
      <fieldGroup par="14"/>
    </cacheField>
    <cacheField name="Rückgabe am" numFmtId="14">
      <sharedItems containsDate="1" containsMixedTypes="1" minDate="2024-06-27T00:00:00" maxDate="2025-10-06T00:00:00"/>
    </cacheField>
    <cacheField name="Gerätetyp" numFmtId="0">
      <sharedItems count="6">
        <s v="Beamer"/>
        <s v="Monitor"/>
        <s v="Drucker"/>
        <s v="Smartphone"/>
        <s v="Laptop"/>
        <s v="Tablet"/>
      </sharedItems>
    </cacheField>
    <cacheField name="Modell" numFmtId="0">
      <sharedItems/>
    </cacheField>
    <cacheField name="Kaufdatum" numFmtId="14">
      <sharedItems containsSemiMixedTypes="0" containsNonDate="0" containsDate="1" containsString="0" minDate="2021-03-03T00:00:00" maxDate="2025-09-10T00:00:00"/>
    </cacheField>
    <cacheField name="Netto-Kaufpreis" numFmtId="0">
      <sharedItems containsSemiMixedTypes="0" containsString="0" containsNumber="1" minValue="501.64" maxValue="1898.65"/>
    </cacheField>
    <cacheField name="Standort Gerät" numFmtId="0">
      <sharedItems count="3">
        <s v="Berlin"/>
        <s v="München"/>
        <s v="Hamburg"/>
      </sharedItems>
    </cacheField>
    <cacheField name="Name" numFmtId="0">
      <sharedItems/>
    </cacheField>
    <cacheField name="Abteilung" numFmtId="0">
      <sharedItems/>
    </cacheField>
    <cacheField name="Standort Mitarbeiter" numFmtId="0">
      <sharedItems/>
    </cacheField>
    <cacheField name="Months (Ausgabe am)" numFmtId="0" databaseField="0">
      <fieldGroup base="2">
        <rangePr groupBy="months" startDate="2023-12-01T00:00:00" endDate="2025-10-01T00:00:00"/>
        <groupItems count="14">
          <s v="&lt;01.12.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.10.25"/>
        </groupItems>
      </fieldGroup>
    </cacheField>
    <cacheField name="Quarters (Ausgabe am)" numFmtId="0" databaseField="0">
      <fieldGroup base="2">
        <rangePr groupBy="quarters" startDate="2023-12-01T00:00:00" endDate="2025-10-01T00:00:00"/>
        <groupItems count="6">
          <s v="&lt;01.12.23"/>
          <s v="Qtr1"/>
          <s v="Qtr2"/>
          <s v="Qtr3"/>
          <s v="Qtr4"/>
          <s v="&gt;01.10.25"/>
        </groupItems>
      </fieldGroup>
    </cacheField>
    <cacheField name="Years (Ausgabe am)" numFmtId="0" databaseField="0">
      <fieldGroup base="2">
        <rangePr groupBy="years" startDate="2023-12-01T00:00:00" endDate="2025-10-01T00:00:00"/>
        <groupItems count="5">
          <s v="&lt;01.12.23"/>
          <s v="2023"/>
          <s v="2024"/>
          <s v="2025"/>
          <s v="&gt;01.10.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n v="1009"/>
    <x v="0"/>
    <s v=""/>
    <x v="0"/>
    <s v="BenQ MW550"/>
    <d v="2024-01-03T00:00:00"/>
    <n v="644.54"/>
    <x v="0"/>
    <s v="Univ.Prof. Heimo Karge"/>
    <s v="Marketing"/>
    <s v="Hamburg"/>
  </r>
  <r>
    <x v="1"/>
    <n v="1008"/>
    <x v="1"/>
    <d v="2025-10-05T00:00:00"/>
    <x v="1"/>
    <s v="Samsung Curved"/>
    <d v="2023-02-22T00:00:00"/>
    <n v="1134.1600000000001"/>
    <x v="1"/>
    <s v="Dipl.-Ing. Klaus-Werner Holsten B.Sc."/>
    <s v="IT"/>
    <s v="Hamburg"/>
  </r>
  <r>
    <x v="2"/>
    <n v="1005"/>
    <x v="2"/>
    <d v="2025-07-30T00:00:00"/>
    <x v="1"/>
    <s v="Dell UltraSharp"/>
    <d v="2022-03-01T00:00:00"/>
    <n v="750.91"/>
    <x v="0"/>
    <s v="Alexandre Davids"/>
    <s v="Vertrieb"/>
    <s v="Berlin"/>
  </r>
  <r>
    <x v="3"/>
    <n v="1010"/>
    <x v="3"/>
    <s v=""/>
    <x v="2"/>
    <s v="Canon Pixma"/>
    <d v="2023-03-30T00:00:00"/>
    <n v="1501.06"/>
    <x v="0"/>
    <s v="Carolin Hande"/>
    <s v="IT"/>
    <s v="Hamburg"/>
  </r>
  <r>
    <x v="4"/>
    <n v="1012"/>
    <x v="4"/>
    <d v="2025-06-10T00:00:00"/>
    <x v="3"/>
    <s v="Samsung S21"/>
    <d v="2024-01-01T00:00:00"/>
    <n v="1257.96"/>
    <x v="1"/>
    <s v="Ariane Klemt-Kaul"/>
    <s v="IT"/>
    <s v="München"/>
  </r>
  <r>
    <x v="5"/>
    <n v="1009"/>
    <x v="5"/>
    <s v=""/>
    <x v="2"/>
    <s v="Canon Pixma"/>
    <d v="2021-11-03T00:00:00"/>
    <n v="823.23"/>
    <x v="0"/>
    <s v="Univ.Prof. Heimo Karge"/>
    <s v="Marketing"/>
    <s v="Hamburg"/>
  </r>
  <r>
    <x v="6"/>
    <n v="1011"/>
    <x v="6"/>
    <d v="2025-07-15T00:00:00"/>
    <x v="4"/>
    <s v="Dell XPS"/>
    <d v="2023-04-10T00:00:00"/>
    <n v="1458.02"/>
    <x v="1"/>
    <s v="Auguste Davids"/>
    <s v="IT"/>
    <s v="Hamburg"/>
  </r>
  <r>
    <x v="7"/>
    <n v="1005"/>
    <x v="7"/>
    <d v="2025-08-29T00:00:00"/>
    <x v="2"/>
    <s v="Brother HL"/>
    <d v="2025-09-09T00:00:00"/>
    <n v="1417.1"/>
    <x v="1"/>
    <s v="Alexandre Davids"/>
    <s v="Vertrieb"/>
    <s v="Berlin"/>
  </r>
  <r>
    <x v="8"/>
    <n v="1004"/>
    <x v="8"/>
    <s v=""/>
    <x v="0"/>
    <s v="Epson EB"/>
    <d v="2023-01-19T00:00:00"/>
    <n v="1246.58"/>
    <x v="2"/>
    <s v="Klemens Löffler"/>
    <s v="Vertrieb"/>
    <s v="Hamburg"/>
  </r>
  <r>
    <x v="9"/>
    <n v="1012"/>
    <x v="9"/>
    <d v="2024-06-27T00:00:00"/>
    <x v="2"/>
    <s v="Canon Pixma"/>
    <d v="2021-05-16T00:00:00"/>
    <n v="1898.65"/>
    <x v="2"/>
    <s v="Ariane Klemt-Kaul"/>
    <s v="IT"/>
    <s v="München"/>
  </r>
  <r>
    <x v="2"/>
    <n v="1008"/>
    <x v="10"/>
    <s v=""/>
    <x v="1"/>
    <s v="Dell UltraSharp"/>
    <d v="2022-03-01T00:00:00"/>
    <n v="750.91"/>
    <x v="0"/>
    <s v="Dipl.-Ing. Klaus-Werner Holsten B.Sc."/>
    <s v="IT"/>
    <s v="Hamburg"/>
  </r>
  <r>
    <x v="10"/>
    <n v="1002"/>
    <x v="11"/>
    <d v="2025-10-04T00:00:00"/>
    <x v="4"/>
    <s v="Lenovo ThinkPad"/>
    <d v="2021-05-21T00:00:00"/>
    <n v="1553.15"/>
    <x v="2"/>
    <s v="Eleni Hauffer"/>
    <s v="IT"/>
    <s v="Berlin"/>
  </r>
  <r>
    <x v="5"/>
    <n v="1006"/>
    <x v="12"/>
    <d v="2025-09-22T00:00:00"/>
    <x v="2"/>
    <s v="Canon Pixma"/>
    <d v="2021-11-03T00:00:00"/>
    <n v="823.23"/>
    <x v="0"/>
    <s v="Eric Patberg B.Sc."/>
    <s v="Vertrieb"/>
    <s v="Hamburg"/>
  </r>
  <r>
    <x v="11"/>
    <n v="1010"/>
    <x v="13"/>
    <d v="2025-08-17T00:00:00"/>
    <x v="3"/>
    <s v="iPhone 13"/>
    <d v="2022-09-20T00:00:00"/>
    <n v="661.44"/>
    <x v="1"/>
    <s v="Carolin Hande"/>
    <s v="IT"/>
    <s v="Hamburg"/>
  </r>
  <r>
    <x v="5"/>
    <n v="1012"/>
    <x v="14"/>
    <s v=""/>
    <x v="2"/>
    <s v="Canon Pixma"/>
    <d v="2021-11-03T00:00:00"/>
    <n v="823.23"/>
    <x v="0"/>
    <s v="Ariane Klemt-Kaul"/>
    <s v="IT"/>
    <s v="München"/>
  </r>
  <r>
    <x v="11"/>
    <n v="1002"/>
    <x v="15"/>
    <s v=""/>
    <x v="3"/>
    <s v="iPhone 13"/>
    <d v="2022-09-20T00:00:00"/>
    <n v="661.44"/>
    <x v="1"/>
    <s v="Eleni Hauffer"/>
    <s v="IT"/>
    <s v="Berlin"/>
  </r>
  <r>
    <x v="12"/>
    <n v="1002"/>
    <x v="16"/>
    <d v="2025-09-30T00:00:00"/>
    <x v="5"/>
    <s v="iPad"/>
    <d v="2024-08-20T00:00:00"/>
    <n v="1591.98"/>
    <x v="2"/>
    <s v="Eleni Hauffer"/>
    <s v="IT"/>
    <s v="Berlin"/>
  </r>
  <r>
    <x v="13"/>
    <n v="1011"/>
    <x v="17"/>
    <d v="2024-11-27T00:00:00"/>
    <x v="5"/>
    <s v="iPad"/>
    <d v="2022-10-05T00:00:00"/>
    <n v="1688.07"/>
    <x v="1"/>
    <s v="Auguste Davids"/>
    <s v="IT"/>
    <s v="Hamburg"/>
  </r>
  <r>
    <x v="0"/>
    <n v="1003"/>
    <x v="18"/>
    <s v=""/>
    <x v="0"/>
    <s v="BenQ MW550"/>
    <d v="2024-01-03T00:00:00"/>
    <n v="644.54"/>
    <x v="0"/>
    <s v="Paul Dobes-Stiffel"/>
    <s v="Produktion"/>
    <s v="Hamburg"/>
  </r>
  <r>
    <x v="14"/>
    <n v="1004"/>
    <x v="19"/>
    <s v=""/>
    <x v="4"/>
    <s v="HP EliteBook"/>
    <d v="2025-04-28T00:00:00"/>
    <n v="1095.6199999999999"/>
    <x v="1"/>
    <s v="Klemens Löffler"/>
    <s v="Vertrieb"/>
    <s v="Hamburg"/>
  </r>
  <r>
    <x v="15"/>
    <n v="1004"/>
    <x v="20"/>
    <d v="2025-07-01T00:00:00"/>
    <x v="1"/>
    <s v="Samsung Curved"/>
    <d v="2022-07-24T00:00:00"/>
    <n v="501.64"/>
    <x v="1"/>
    <s v="Klemens Löffler"/>
    <s v="Vertrieb"/>
    <s v="Hamburg"/>
  </r>
  <r>
    <x v="8"/>
    <n v="1006"/>
    <x v="21"/>
    <d v="2025-03-16T00:00:00"/>
    <x v="0"/>
    <s v="Epson EB"/>
    <d v="2023-01-19T00:00:00"/>
    <n v="1246.58"/>
    <x v="2"/>
    <s v="Eric Patberg B.Sc."/>
    <s v="Vertrieb"/>
    <s v="Hamburg"/>
  </r>
  <r>
    <x v="16"/>
    <n v="1012"/>
    <x v="22"/>
    <d v="2025-09-05T00:00:00"/>
    <x v="0"/>
    <s v="Epson EB"/>
    <d v="2022-03-27T00:00:00"/>
    <n v="1629.76"/>
    <x v="1"/>
    <s v="Ariane Klemt-Kaul"/>
    <s v="IT"/>
    <s v="München"/>
  </r>
  <r>
    <x v="17"/>
    <n v="1001"/>
    <x v="23"/>
    <d v="2025-07-16T00:00:00"/>
    <x v="4"/>
    <s v="Lenovo ThinkPad"/>
    <d v="2021-06-13T00:00:00"/>
    <n v="869.09"/>
    <x v="2"/>
    <s v="Aleksandr Weinhage"/>
    <s v="IT"/>
    <s v="Berlin"/>
  </r>
  <r>
    <x v="12"/>
    <n v="1002"/>
    <x v="24"/>
    <d v="2025-01-06T00:00:00"/>
    <x v="5"/>
    <s v="iPad"/>
    <d v="2024-08-20T00:00:00"/>
    <n v="1591.98"/>
    <x v="2"/>
    <s v="Eleni Hauffer"/>
    <s v="IT"/>
    <s v="Berlin"/>
  </r>
  <r>
    <x v="9"/>
    <n v="1009"/>
    <x v="25"/>
    <d v="2025-02-26T00:00:00"/>
    <x v="2"/>
    <s v="Canon Pixma"/>
    <d v="2021-05-16T00:00:00"/>
    <n v="1898.65"/>
    <x v="2"/>
    <s v="Univ.Prof. Heimo Karge"/>
    <s v="Marketing"/>
    <s v="Hamburg"/>
  </r>
  <r>
    <x v="8"/>
    <n v="1003"/>
    <x v="26"/>
    <d v="2024-12-04T00:00:00"/>
    <x v="0"/>
    <s v="Epson EB"/>
    <d v="2023-01-19T00:00:00"/>
    <n v="1246.58"/>
    <x v="2"/>
    <s v="Paul Dobes-Stiffel"/>
    <s v="Produktion"/>
    <s v="Hamburg"/>
  </r>
  <r>
    <x v="3"/>
    <n v="1002"/>
    <x v="27"/>
    <d v="2025-05-31T00:00:00"/>
    <x v="2"/>
    <s v="Canon Pixma"/>
    <d v="2023-03-30T00:00:00"/>
    <n v="1501.06"/>
    <x v="0"/>
    <s v="Eleni Hauffer"/>
    <s v="IT"/>
    <s v="Berlin"/>
  </r>
  <r>
    <x v="17"/>
    <n v="1001"/>
    <x v="28"/>
    <s v=""/>
    <x v="4"/>
    <s v="Lenovo ThinkPad"/>
    <d v="2021-06-13T00:00:00"/>
    <n v="869.09"/>
    <x v="2"/>
    <s v="Aleksandr Weinhage"/>
    <s v="IT"/>
    <s v="Berlin"/>
  </r>
  <r>
    <x v="0"/>
    <n v="1001"/>
    <x v="29"/>
    <s v=""/>
    <x v="0"/>
    <s v="BenQ MW550"/>
    <d v="2024-01-03T00:00:00"/>
    <n v="644.54"/>
    <x v="0"/>
    <s v="Aleksandr Weinhage"/>
    <s v="IT"/>
    <s v="Berlin"/>
  </r>
  <r>
    <x v="3"/>
    <n v="1003"/>
    <x v="30"/>
    <d v="2025-06-09T00:00:00"/>
    <x v="2"/>
    <s v="Canon Pixma"/>
    <d v="2023-03-30T00:00:00"/>
    <n v="1501.06"/>
    <x v="0"/>
    <s v="Paul Dobes-Stiffel"/>
    <s v="Produktion"/>
    <s v="Hamburg"/>
  </r>
  <r>
    <x v="14"/>
    <n v="1004"/>
    <x v="31"/>
    <s v=""/>
    <x v="4"/>
    <s v="HP EliteBook"/>
    <d v="2025-04-28T00:00:00"/>
    <n v="1095.6199999999999"/>
    <x v="1"/>
    <s v="Klemens Löffler"/>
    <s v="Vertrieb"/>
    <s v="Hamburg"/>
  </r>
  <r>
    <x v="18"/>
    <n v="1003"/>
    <x v="32"/>
    <d v="2025-09-08T00:00:00"/>
    <x v="4"/>
    <s v="Dell XPS"/>
    <d v="2025-05-05T00:00:00"/>
    <n v="1007.88"/>
    <x v="1"/>
    <s v="Paul Dobes-Stiffel"/>
    <s v="Produktion"/>
    <s v="Hamburg"/>
  </r>
  <r>
    <x v="19"/>
    <n v="1005"/>
    <x v="33"/>
    <s v=""/>
    <x v="0"/>
    <s v="Epson EB"/>
    <d v="2023-12-06T00:00:00"/>
    <n v="545.46"/>
    <x v="0"/>
    <s v="Alexandre Davids"/>
    <s v="Vertrieb"/>
    <s v="Berlin"/>
  </r>
  <r>
    <x v="16"/>
    <n v="1005"/>
    <x v="34"/>
    <d v="2024-09-24T00:00:00"/>
    <x v="0"/>
    <s v="Epson EB"/>
    <d v="2022-03-27T00:00:00"/>
    <n v="1629.76"/>
    <x v="1"/>
    <s v="Alexandre Davids"/>
    <s v="Vertrieb"/>
    <s v="Berlin"/>
  </r>
  <r>
    <x v="20"/>
    <n v="1003"/>
    <x v="35"/>
    <d v="2025-08-02T00:00:00"/>
    <x v="4"/>
    <s v="Lenovo ThinkPad"/>
    <d v="2022-11-11T00:00:00"/>
    <n v="1801.36"/>
    <x v="1"/>
    <s v="Paul Dobes-Stiffel"/>
    <s v="Produktion"/>
    <s v="Hamburg"/>
  </r>
  <r>
    <x v="21"/>
    <n v="1001"/>
    <x v="36"/>
    <d v="2025-03-03T00:00:00"/>
    <x v="4"/>
    <s v="Lenovo ThinkPad"/>
    <d v="2021-03-03T00:00:00"/>
    <n v="1415.97"/>
    <x v="2"/>
    <s v="Aleksandr Weinhage"/>
    <s v="IT"/>
    <s v="Berlin"/>
  </r>
  <r>
    <x v="0"/>
    <n v="1001"/>
    <x v="37"/>
    <s v=""/>
    <x v="0"/>
    <s v="BenQ MW550"/>
    <d v="2024-01-03T00:00:00"/>
    <n v="644.54"/>
    <x v="0"/>
    <s v="Aleksandr Weinhage"/>
    <s v="IT"/>
    <s v="Berlin"/>
  </r>
  <r>
    <x v="18"/>
    <n v="1001"/>
    <x v="28"/>
    <d v="2025-08-12T00:00:00"/>
    <x v="4"/>
    <s v="Dell XPS"/>
    <d v="2025-05-05T00:00:00"/>
    <n v="1007.88"/>
    <x v="1"/>
    <s v="Aleksandr Weinhage"/>
    <s v="IT"/>
    <s v="Berlin"/>
  </r>
  <r>
    <x v="22"/>
    <n v="1009"/>
    <x v="38"/>
    <d v="2025-05-07T00:00:00"/>
    <x v="0"/>
    <s v="BenQ MW550"/>
    <d v="2022-03-03T00:00:00"/>
    <n v="1212.29"/>
    <x v="0"/>
    <s v="Univ.Prof. Heimo Karge"/>
    <s v="Marketing"/>
    <s v="Hamburg"/>
  </r>
  <r>
    <x v="22"/>
    <n v="1002"/>
    <x v="39"/>
    <s v=""/>
    <x v="0"/>
    <s v="BenQ MW550"/>
    <d v="2022-03-03T00:00:00"/>
    <n v="1212.29"/>
    <x v="0"/>
    <s v="Eleni Hauffer"/>
    <s v="IT"/>
    <s v="Berlin"/>
  </r>
  <r>
    <x v="5"/>
    <n v="1010"/>
    <x v="16"/>
    <d v="2025-09-25T00:00:00"/>
    <x v="2"/>
    <s v="Canon Pixma"/>
    <d v="2021-11-03T00:00:00"/>
    <n v="823.23"/>
    <x v="0"/>
    <s v="Carolin Hande"/>
    <s v="IT"/>
    <s v="Hamburg"/>
  </r>
  <r>
    <x v="3"/>
    <n v="1007"/>
    <x v="40"/>
    <d v="2025-07-08T00:00:00"/>
    <x v="2"/>
    <s v="Canon Pixma"/>
    <d v="2023-03-30T00:00:00"/>
    <n v="1501.06"/>
    <x v="0"/>
    <s v="Orhan Siering MBA."/>
    <s v="IT"/>
    <s v="Berlin"/>
  </r>
  <r>
    <x v="3"/>
    <n v="1010"/>
    <x v="4"/>
    <d v="2025-10-02T00:00:00"/>
    <x v="2"/>
    <s v="Canon Pixma"/>
    <d v="2023-03-30T00:00:00"/>
    <n v="1501.06"/>
    <x v="0"/>
    <s v="Carolin Hande"/>
    <s v="IT"/>
    <s v="Hamburg"/>
  </r>
  <r>
    <x v="4"/>
    <n v="1007"/>
    <x v="41"/>
    <s v=""/>
    <x v="3"/>
    <s v="Samsung S21"/>
    <d v="2024-01-01T00:00:00"/>
    <n v="1257.96"/>
    <x v="1"/>
    <s v="Orhan Siering MBA."/>
    <s v="IT"/>
    <s v="Berl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B85A5-0F5C-C648-A51B-03E81ED27372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:J11" firstHeaderRow="1" firstDataRow="2" firstDataCol="1"/>
  <pivotFields count="15">
    <pivotField dataField="1" showAll="0">
      <items count="24">
        <item x="18"/>
        <item x="5"/>
        <item x="4"/>
        <item x="17"/>
        <item x="6"/>
        <item x="7"/>
        <item x="9"/>
        <item x="21"/>
        <item x="11"/>
        <item x="3"/>
        <item x="13"/>
        <item x="1"/>
        <item x="12"/>
        <item x="2"/>
        <item x="19"/>
        <item x="15"/>
        <item x="8"/>
        <item x="10"/>
        <item x="16"/>
        <item x="14"/>
        <item x="20"/>
        <item x="22"/>
        <item x="0"/>
        <item t="default"/>
      </items>
    </pivotField>
    <pivotField showAll="0"/>
    <pivotField numFmtId="14" showAll="0">
      <items count="43">
        <item x="34"/>
        <item x="29"/>
        <item x="25"/>
        <item x="19"/>
        <item x="30"/>
        <item x="31"/>
        <item x="10"/>
        <item x="13"/>
        <item x="5"/>
        <item x="20"/>
        <item x="18"/>
        <item x="9"/>
        <item x="0"/>
        <item x="41"/>
        <item x="24"/>
        <item x="35"/>
        <item x="15"/>
        <item x="8"/>
        <item x="23"/>
        <item x="17"/>
        <item x="26"/>
        <item x="14"/>
        <item x="36"/>
        <item x="21"/>
        <item x="37"/>
        <item x="33"/>
        <item x="38"/>
        <item x="39"/>
        <item x="2"/>
        <item x="22"/>
        <item x="40"/>
        <item x="27"/>
        <item x="4"/>
        <item x="32"/>
        <item x="7"/>
        <item x="6"/>
        <item x="3"/>
        <item x="28"/>
        <item x="12"/>
        <item x="16"/>
        <item x="11"/>
        <item x="1"/>
        <item t="default"/>
      </items>
    </pivotField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numFmtId="14" showAll="0"/>
    <pivotField showAll="0"/>
    <pivotField axis="axisCol" showAll="0" sortType="ascending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Gerätenummer" fld="0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CDB6F-DBDE-C640-AE8A-D6FCFCF61745}" name="PivotTable5" cacheId="1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A3:B10" firstHeaderRow="1" firstDataRow="1" firstDataCol="1"/>
  <pivotFields count="15">
    <pivotField dataField="1" showAll="0">
      <items count="24">
        <item x="18"/>
        <item x="5"/>
        <item x="4"/>
        <item x="17"/>
        <item x="6"/>
        <item x="7"/>
        <item x="9"/>
        <item x="21"/>
        <item x="11"/>
        <item x="3"/>
        <item x="13"/>
        <item x="1"/>
        <item x="12"/>
        <item x="2"/>
        <item x="19"/>
        <item x="15"/>
        <item x="8"/>
        <item x="10"/>
        <item x="16"/>
        <item x="14"/>
        <item x="20"/>
        <item x="22"/>
        <item x="0"/>
        <item t="default"/>
      </items>
    </pivotField>
    <pivotField showAll="0"/>
    <pivotField numFmtId="14" showAll="0">
      <items count="43">
        <item x="34"/>
        <item x="29"/>
        <item x="25"/>
        <item x="19"/>
        <item x="30"/>
        <item x="31"/>
        <item x="10"/>
        <item x="13"/>
        <item x="5"/>
        <item x="20"/>
        <item x="18"/>
        <item x="9"/>
        <item x="0"/>
        <item x="41"/>
        <item x="24"/>
        <item x="35"/>
        <item x="15"/>
        <item x="8"/>
        <item x="23"/>
        <item x="17"/>
        <item x="26"/>
        <item x="14"/>
        <item x="36"/>
        <item x="21"/>
        <item x="37"/>
        <item x="33"/>
        <item x="38"/>
        <item x="39"/>
        <item x="2"/>
        <item x="22"/>
        <item x="40"/>
        <item x="27"/>
        <item x="4"/>
        <item x="32"/>
        <item x="7"/>
        <item x="6"/>
        <item x="3"/>
        <item x="28"/>
        <item x="12"/>
        <item x="16"/>
        <item x="11"/>
        <item x="1"/>
        <item t="default"/>
      </items>
    </pivotField>
    <pivotField showAll="0"/>
    <pivotField axis="axisRow" showAll="0">
      <items count="7">
        <item sd="0" x="0"/>
        <item sd="0" x="2"/>
        <item x="4"/>
        <item sd="0" x="1"/>
        <item sd="0" x="3"/>
        <item sd="0" x="5"/>
        <item t="default" sd="0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Gerätenumm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16" customWidth="1"/>
    <col min="2" max="2" width="36" customWidth="1"/>
    <col min="3" max="4" width="12" customWidth="1"/>
  </cols>
  <sheetData>
    <row r="1" spans="1:4" x14ac:dyDescent="0.2">
      <c r="A1" s="1" t="s">
        <v>65</v>
      </c>
      <c r="B1" s="1" t="s">
        <v>66</v>
      </c>
      <c r="C1" s="1" t="s">
        <v>67</v>
      </c>
      <c r="D1" s="1" t="s">
        <v>5</v>
      </c>
    </row>
    <row r="2" spans="1:4" x14ac:dyDescent="0.2">
      <c r="A2">
        <v>1001</v>
      </c>
      <c r="B2" t="s">
        <v>68</v>
      </c>
      <c r="C2" t="s">
        <v>69</v>
      </c>
      <c r="D2" t="s">
        <v>9</v>
      </c>
    </row>
    <row r="3" spans="1:4" x14ac:dyDescent="0.2">
      <c r="A3">
        <v>1002</v>
      </c>
      <c r="B3" t="s">
        <v>70</v>
      </c>
      <c r="C3" t="s">
        <v>69</v>
      </c>
      <c r="D3" t="s">
        <v>9</v>
      </c>
    </row>
    <row r="4" spans="1:4" x14ac:dyDescent="0.2">
      <c r="A4">
        <v>1003</v>
      </c>
      <c r="B4" t="s">
        <v>71</v>
      </c>
      <c r="C4" t="s">
        <v>72</v>
      </c>
      <c r="D4" t="s">
        <v>26</v>
      </c>
    </row>
    <row r="5" spans="1:4" x14ac:dyDescent="0.2">
      <c r="A5">
        <v>1004</v>
      </c>
      <c r="B5" t="s">
        <v>73</v>
      </c>
      <c r="C5" t="s">
        <v>74</v>
      </c>
      <c r="D5" t="s">
        <v>26</v>
      </c>
    </row>
    <row r="6" spans="1:4" x14ac:dyDescent="0.2">
      <c r="A6">
        <v>1005</v>
      </c>
      <c r="B6" t="s">
        <v>75</v>
      </c>
      <c r="C6" t="s">
        <v>74</v>
      </c>
      <c r="D6" t="s">
        <v>9</v>
      </c>
    </row>
    <row r="7" spans="1:4" x14ac:dyDescent="0.2">
      <c r="A7">
        <v>1006</v>
      </c>
      <c r="B7" t="s">
        <v>76</v>
      </c>
      <c r="C7" t="s">
        <v>74</v>
      </c>
      <c r="D7" t="s">
        <v>26</v>
      </c>
    </row>
    <row r="8" spans="1:4" x14ac:dyDescent="0.2">
      <c r="A8">
        <v>1007</v>
      </c>
      <c r="B8" t="s">
        <v>77</v>
      </c>
      <c r="C8" t="s">
        <v>69</v>
      </c>
      <c r="D8" t="s">
        <v>9</v>
      </c>
    </row>
    <row r="9" spans="1:4" x14ac:dyDescent="0.2">
      <c r="A9">
        <v>1008</v>
      </c>
      <c r="B9" t="s">
        <v>78</v>
      </c>
      <c r="C9" t="s">
        <v>69</v>
      </c>
      <c r="D9" t="s">
        <v>26</v>
      </c>
    </row>
    <row r="10" spans="1:4" x14ac:dyDescent="0.2">
      <c r="A10">
        <v>1009</v>
      </c>
      <c r="B10" t="s">
        <v>79</v>
      </c>
      <c r="C10" t="s">
        <v>80</v>
      </c>
      <c r="D10" t="s">
        <v>26</v>
      </c>
    </row>
    <row r="11" spans="1:4" x14ac:dyDescent="0.2">
      <c r="A11">
        <v>1010</v>
      </c>
      <c r="B11" t="s">
        <v>81</v>
      </c>
      <c r="C11" t="s">
        <v>69</v>
      </c>
      <c r="D11" t="s">
        <v>26</v>
      </c>
    </row>
    <row r="12" spans="1:4" x14ac:dyDescent="0.2">
      <c r="A12">
        <v>1011</v>
      </c>
      <c r="B12" t="s">
        <v>82</v>
      </c>
      <c r="C12" t="s">
        <v>69</v>
      </c>
      <c r="D12" t="s">
        <v>26</v>
      </c>
    </row>
    <row r="13" spans="1:4" x14ac:dyDescent="0.2">
      <c r="A13">
        <v>1012</v>
      </c>
      <c r="B13" t="s">
        <v>83</v>
      </c>
      <c r="C13" t="s">
        <v>69</v>
      </c>
      <c r="D1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/>
  </sheetViews>
  <sheetFormatPr baseColWidth="10" defaultColWidth="8.83203125" defaultRowHeight="15" x14ac:dyDescent="0.2"/>
  <cols>
    <col min="1" max="1" width="14" customWidth="1"/>
    <col min="2" max="2" width="12" customWidth="1"/>
    <col min="3" max="3" width="18" customWidth="1"/>
    <col min="4" max="4" width="12" customWidth="1"/>
    <col min="5" max="5" width="17" customWidth="1"/>
    <col min="6" max="6" width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s="2">
        <v>44937</v>
      </c>
      <c r="E2">
        <v>1342.83</v>
      </c>
      <c r="F2" t="s">
        <v>9</v>
      </c>
    </row>
    <row r="3" spans="1:6" x14ac:dyDescent="0.2">
      <c r="A3" t="s">
        <v>10</v>
      </c>
      <c r="B3" t="s">
        <v>7</v>
      </c>
      <c r="C3" t="s">
        <v>11</v>
      </c>
      <c r="D3" s="2">
        <v>44250</v>
      </c>
      <c r="E3">
        <v>1076.18</v>
      </c>
      <c r="F3" t="s">
        <v>12</v>
      </c>
    </row>
    <row r="4" spans="1:6" x14ac:dyDescent="0.2">
      <c r="A4" t="s">
        <v>13</v>
      </c>
      <c r="B4" t="s">
        <v>7</v>
      </c>
      <c r="C4" t="s">
        <v>14</v>
      </c>
      <c r="D4" s="2">
        <v>45543</v>
      </c>
      <c r="E4">
        <v>1931.54</v>
      </c>
      <c r="F4" t="s">
        <v>12</v>
      </c>
    </row>
    <row r="5" spans="1:6" x14ac:dyDescent="0.2">
      <c r="A5" t="s">
        <v>15</v>
      </c>
      <c r="B5" t="s">
        <v>16</v>
      </c>
      <c r="C5" t="s">
        <v>17</v>
      </c>
      <c r="D5" s="2">
        <v>45782</v>
      </c>
      <c r="E5">
        <v>1007.88</v>
      </c>
      <c r="F5" t="s">
        <v>12</v>
      </c>
    </row>
    <row r="6" spans="1:6" x14ac:dyDescent="0.2">
      <c r="A6" t="s">
        <v>18</v>
      </c>
      <c r="B6" t="s">
        <v>19</v>
      </c>
      <c r="C6" t="s">
        <v>20</v>
      </c>
      <c r="D6" s="2">
        <v>44503</v>
      </c>
      <c r="E6">
        <v>823.23</v>
      </c>
      <c r="F6" t="s">
        <v>9</v>
      </c>
    </row>
    <row r="7" spans="1:6" x14ac:dyDescent="0.2">
      <c r="A7" t="s">
        <v>21</v>
      </c>
      <c r="B7" t="s">
        <v>22</v>
      </c>
      <c r="C7" t="s">
        <v>23</v>
      </c>
      <c r="D7" s="2">
        <v>45292</v>
      </c>
      <c r="E7">
        <v>1257.96</v>
      </c>
      <c r="F7" t="s">
        <v>12</v>
      </c>
    </row>
    <row r="8" spans="1:6" x14ac:dyDescent="0.2">
      <c r="A8" t="s">
        <v>24</v>
      </c>
      <c r="B8" t="s">
        <v>16</v>
      </c>
      <c r="C8" t="s">
        <v>25</v>
      </c>
      <c r="D8" s="2">
        <v>44360</v>
      </c>
      <c r="E8">
        <v>869.09</v>
      </c>
      <c r="F8" t="s">
        <v>26</v>
      </c>
    </row>
    <row r="9" spans="1:6" x14ac:dyDescent="0.2">
      <c r="A9" t="s">
        <v>27</v>
      </c>
      <c r="B9" t="s">
        <v>28</v>
      </c>
      <c r="C9" t="s">
        <v>29</v>
      </c>
      <c r="D9" s="2">
        <v>45831</v>
      </c>
      <c r="E9">
        <v>1323.76</v>
      </c>
      <c r="F9" t="s">
        <v>26</v>
      </c>
    </row>
    <row r="10" spans="1:6" x14ac:dyDescent="0.2">
      <c r="A10" t="s">
        <v>30</v>
      </c>
      <c r="B10" t="s">
        <v>16</v>
      </c>
      <c r="C10" t="s">
        <v>17</v>
      </c>
      <c r="D10" s="2">
        <v>45026</v>
      </c>
      <c r="E10">
        <v>1458.02</v>
      </c>
      <c r="F10" t="s">
        <v>12</v>
      </c>
    </row>
    <row r="11" spans="1:6" x14ac:dyDescent="0.2">
      <c r="A11" t="s">
        <v>31</v>
      </c>
      <c r="B11" t="s">
        <v>16</v>
      </c>
      <c r="C11" t="s">
        <v>17</v>
      </c>
      <c r="D11" s="2">
        <v>45239</v>
      </c>
      <c r="E11">
        <v>1786.37</v>
      </c>
      <c r="F11" t="s">
        <v>12</v>
      </c>
    </row>
    <row r="12" spans="1:6" x14ac:dyDescent="0.2">
      <c r="A12" t="s">
        <v>32</v>
      </c>
      <c r="B12" t="s">
        <v>19</v>
      </c>
      <c r="C12" t="s">
        <v>33</v>
      </c>
      <c r="D12" s="2">
        <v>45909</v>
      </c>
      <c r="E12">
        <v>1417.1</v>
      </c>
      <c r="F12" t="s">
        <v>12</v>
      </c>
    </row>
    <row r="13" spans="1:6" x14ac:dyDescent="0.2">
      <c r="A13" t="s">
        <v>34</v>
      </c>
      <c r="B13" t="s">
        <v>7</v>
      </c>
      <c r="C13" t="s">
        <v>8</v>
      </c>
      <c r="D13" s="2">
        <v>44713</v>
      </c>
      <c r="E13">
        <v>968.43</v>
      </c>
      <c r="F13" t="s">
        <v>26</v>
      </c>
    </row>
    <row r="14" spans="1:6" x14ac:dyDescent="0.2">
      <c r="A14" t="s">
        <v>35</v>
      </c>
      <c r="B14" t="s">
        <v>19</v>
      </c>
      <c r="C14" t="s">
        <v>20</v>
      </c>
      <c r="D14" s="2">
        <v>44332</v>
      </c>
      <c r="E14">
        <v>1898.65</v>
      </c>
      <c r="F14" t="s">
        <v>26</v>
      </c>
    </row>
    <row r="15" spans="1:6" x14ac:dyDescent="0.2">
      <c r="A15" t="s">
        <v>36</v>
      </c>
      <c r="B15" t="s">
        <v>16</v>
      </c>
      <c r="C15" t="s">
        <v>25</v>
      </c>
      <c r="D15" s="2">
        <v>44258</v>
      </c>
      <c r="E15">
        <v>1415.97</v>
      </c>
      <c r="F15" t="s">
        <v>26</v>
      </c>
    </row>
    <row r="16" spans="1:6" x14ac:dyDescent="0.2">
      <c r="A16" t="s">
        <v>37</v>
      </c>
      <c r="B16" t="s">
        <v>22</v>
      </c>
      <c r="C16" t="s">
        <v>38</v>
      </c>
      <c r="D16" s="2">
        <v>44824</v>
      </c>
      <c r="E16">
        <v>661.44</v>
      </c>
      <c r="F16" t="s">
        <v>12</v>
      </c>
    </row>
    <row r="17" spans="1:6" x14ac:dyDescent="0.2">
      <c r="A17" t="s">
        <v>39</v>
      </c>
      <c r="B17" t="s">
        <v>19</v>
      </c>
      <c r="C17" t="s">
        <v>20</v>
      </c>
      <c r="D17" s="2">
        <v>45015</v>
      </c>
      <c r="E17">
        <v>1501.06</v>
      </c>
      <c r="F17" t="s">
        <v>9</v>
      </c>
    </row>
    <row r="18" spans="1:6" x14ac:dyDescent="0.2">
      <c r="A18" t="s">
        <v>40</v>
      </c>
      <c r="B18" t="s">
        <v>22</v>
      </c>
      <c r="C18" t="s">
        <v>23</v>
      </c>
      <c r="D18" s="2">
        <v>44363</v>
      </c>
      <c r="E18">
        <v>1748.56</v>
      </c>
      <c r="F18" t="s">
        <v>9</v>
      </c>
    </row>
    <row r="19" spans="1:6" x14ac:dyDescent="0.2">
      <c r="A19" t="s">
        <v>41</v>
      </c>
      <c r="B19" t="s">
        <v>7</v>
      </c>
      <c r="C19" t="s">
        <v>14</v>
      </c>
      <c r="D19" s="2">
        <v>44839</v>
      </c>
      <c r="E19">
        <v>1688.07</v>
      </c>
      <c r="F19" t="s">
        <v>12</v>
      </c>
    </row>
    <row r="20" spans="1:6" x14ac:dyDescent="0.2">
      <c r="A20" t="s">
        <v>42</v>
      </c>
      <c r="B20" t="s">
        <v>19</v>
      </c>
      <c r="C20" t="s">
        <v>43</v>
      </c>
      <c r="D20" s="2">
        <v>44429</v>
      </c>
      <c r="E20">
        <v>737.57</v>
      </c>
      <c r="F20" t="s">
        <v>26</v>
      </c>
    </row>
    <row r="21" spans="1:6" x14ac:dyDescent="0.2">
      <c r="A21" t="s">
        <v>44</v>
      </c>
      <c r="B21" t="s">
        <v>22</v>
      </c>
      <c r="C21" t="s">
        <v>23</v>
      </c>
      <c r="D21" s="2">
        <v>45297</v>
      </c>
      <c r="E21">
        <v>740.2</v>
      </c>
      <c r="F21" t="s">
        <v>12</v>
      </c>
    </row>
    <row r="22" spans="1:6" x14ac:dyDescent="0.2">
      <c r="A22" t="s">
        <v>45</v>
      </c>
      <c r="B22" t="s">
        <v>46</v>
      </c>
      <c r="C22" t="s">
        <v>47</v>
      </c>
      <c r="D22" s="2">
        <v>44979</v>
      </c>
      <c r="E22">
        <v>1134.1600000000001</v>
      </c>
      <c r="F22" t="s">
        <v>12</v>
      </c>
    </row>
    <row r="23" spans="1:6" x14ac:dyDescent="0.2">
      <c r="A23" t="s">
        <v>48</v>
      </c>
      <c r="B23" t="s">
        <v>7</v>
      </c>
      <c r="C23" t="s">
        <v>14</v>
      </c>
      <c r="D23" s="2">
        <v>45524</v>
      </c>
      <c r="E23">
        <v>1591.98</v>
      </c>
      <c r="F23" t="s">
        <v>26</v>
      </c>
    </row>
    <row r="24" spans="1:6" x14ac:dyDescent="0.2">
      <c r="A24" t="s">
        <v>49</v>
      </c>
      <c r="B24" t="s">
        <v>19</v>
      </c>
      <c r="C24" t="s">
        <v>20</v>
      </c>
      <c r="D24" s="2">
        <v>45249</v>
      </c>
      <c r="E24">
        <v>1335.34</v>
      </c>
      <c r="F24" t="s">
        <v>26</v>
      </c>
    </row>
    <row r="25" spans="1:6" x14ac:dyDescent="0.2">
      <c r="A25" t="s">
        <v>50</v>
      </c>
      <c r="B25" t="s">
        <v>46</v>
      </c>
      <c r="C25" t="s">
        <v>51</v>
      </c>
      <c r="D25" s="2">
        <v>44621</v>
      </c>
      <c r="E25">
        <v>750.91</v>
      </c>
      <c r="F25" t="s">
        <v>9</v>
      </c>
    </row>
    <row r="26" spans="1:6" x14ac:dyDescent="0.2">
      <c r="A26" t="s">
        <v>52</v>
      </c>
      <c r="B26" t="s">
        <v>28</v>
      </c>
      <c r="C26" t="s">
        <v>29</v>
      </c>
      <c r="D26" s="2">
        <v>45266</v>
      </c>
      <c r="E26">
        <v>545.46</v>
      </c>
      <c r="F26" t="s">
        <v>9</v>
      </c>
    </row>
    <row r="27" spans="1:6" x14ac:dyDescent="0.2">
      <c r="A27" t="s">
        <v>53</v>
      </c>
      <c r="B27" t="s">
        <v>16</v>
      </c>
      <c r="C27" t="s">
        <v>17</v>
      </c>
      <c r="D27" s="2">
        <v>45219</v>
      </c>
      <c r="E27">
        <v>1403.91</v>
      </c>
      <c r="F27" t="s">
        <v>26</v>
      </c>
    </row>
    <row r="28" spans="1:6" x14ac:dyDescent="0.2">
      <c r="A28" t="s">
        <v>54</v>
      </c>
      <c r="B28" t="s">
        <v>46</v>
      </c>
      <c r="C28" t="s">
        <v>47</v>
      </c>
      <c r="D28" s="2">
        <v>44766</v>
      </c>
      <c r="E28">
        <v>501.64</v>
      </c>
      <c r="F28" t="s">
        <v>12</v>
      </c>
    </row>
    <row r="29" spans="1:6" x14ac:dyDescent="0.2">
      <c r="A29" t="s">
        <v>55</v>
      </c>
      <c r="B29" t="s">
        <v>28</v>
      </c>
      <c r="C29" t="s">
        <v>29</v>
      </c>
      <c r="D29" s="2">
        <v>44945</v>
      </c>
      <c r="E29">
        <v>1246.58</v>
      </c>
      <c r="F29" t="s">
        <v>26</v>
      </c>
    </row>
    <row r="30" spans="1:6" x14ac:dyDescent="0.2">
      <c r="A30" t="s">
        <v>56</v>
      </c>
      <c r="B30" t="s">
        <v>16</v>
      </c>
      <c r="C30" t="s">
        <v>25</v>
      </c>
      <c r="D30" s="2">
        <v>44337</v>
      </c>
      <c r="E30">
        <v>1553.15</v>
      </c>
      <c r="F30" t="s">
        <v>26</v>
      </c>
    </row>
    <row r="31" spans="1:6" x14ac:dyDescent="0.2">
      <c r="A31" t="s">
        <v>57</v>
      </c>
      <c r="B31" t="s">
        <v>28</v>
      </c>
      <c r="C31" t="s">
        <v>29</v>
      </c>
      <c r="D31" s="2">
        <v>44647</v>
      </c>
      <c r="E31">
        <v>1629.76</v>
      </c>
      <c r="F31" t="s">
        <v>12</v>
      </c>
    </row>
    <row r="32" spans="1:6" x14ac:dyDescent="0.2">
      <c r="A32" t="s">
        <v>58</v>
      </c>
      <c r="B32" t="s">
        <v>16</v>
      </c>
      <c r="C32" t="s">
        <v>59</v>
      </c>
      <c r="D32" s="2">
        <v>45775</v>
      </c>
      <c r="E32">
        <v>1095.6199999999999</v>
      </c>
      <c r="F32" t="s">
        <v>12</v>
      </c>
    </row>
    <row r="33" spans="1:6" x14ac:dyDescent="0.2">
      <c r="A33" t="s">
        <v>60</v>
      </c>
      <c r="B33" t="s">
        <v>16</v>
      </c>
      <c r="C33" t="s">
        <v>25</v>
      </c>
      <c r="D33" s="2">
        <v>44876</v>
      </c>
      <c r="E33">
        <v>1801.36</v>
      </c>
      <c r="F33" t="s">
        <v>12</v>
      </c>
    </row>
    <row r="34" spans="1:6" x14ac:dyDescent="0.2">
      <c r="A34" t="s">
        <v>61</v>
      </c>
      <c r="B34" t="s">
        <v>28</v>
      </c>
      <c r="C34" t="s">
        <v>62</v>
      </c>
      <c r="D34" s="2">
        <v>44623</v>
      </c>
      <c r="E34">
        <v>1212.29</v>
      </c>
      <c r="F34" t="s">
        <v>9</v>
      </c>
    </row>
    <row r="35" spans="1:6" x14ac:dyDescent="0.2">
      <c r="A35" t="s">
        <v>63</v>
      </c>
      <c r="B35" t="s">
        <v>22</v>
      </c>
      <c r="C35" t="s">
        <v>23</v>
      </c>
      <c r="D35" s="2">
        <v>45552</v>
      </c>
      <c r="E35">
        <v>1746.67</v>
      </c>
      <c r="F35" t="s">
        <v>26</v>
      </c>
    </row>
    <row r="36" spans="1:6" x14ac:dyDescent="0.2">
      <c r="A36" t="s">
        <v>64</v>
      </c>
      <c r="B36" t="s">
        <v>28</v>
      </c>
      <c r="C36" t="s">
        <v>62</v>
      </c>
      <c r="D36" s="2">
        <v>45294</v>
      </c>
      <c r="E36">
        <v>644.54</v>
      </c>
      <c r="F36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2" customWidth="1"/>
    <col min="4" max="4" width="14.33203125" customWidth="1"/>
    <col min="5" max="5" width="8.83203125" customWidth="1"/>
  </cols>
  <sheetData>
    <row r="1" spans="1:5" x14ac:dyDescent="0.2">
      <c r="A1" s="1" t="s">
        <v>0</v>
      </c>
      <c r="B1" s="1" t="s">
        <v>65</v>
      </c>
      <c r="C1" s="1" t="s">
        <v>84</v>
      </c>
      <c r="D1" s="1" t="s">
        <v>85</v>
      </c>
      <c r="E1" s="10"/>
    </row>
    <row r="2" spans="1:5" x14ac:dyDescent="0.2">
      <c r="A2" t="s">
        <v>64</v>
      </c>
      <c r="B2">
        <v>1009</v>
      </c>
      <c r="C2" s="2">
        <v>45421</v>
      </c>
      <c r="D2" s="2"/>
      <c r="E2" s="11"/>
    </row>
    <row r="3" spans="1:5" x14ac:dyDescent="0.2">
      <c r="A3" t="s">
        <v>45</v>
      </c>
      <c r="B3">
        <v>1008</v>
      </c>
      <c r="C3" s="2">
        <v>45930</v>
      </c>
      <c r="D3" s="2">
        <v>45935</v>
      </c>
      <c r="E3" s="11"/>
    </row>
    <row r="4" spans="1:5" x14ac:dyDescent="0.2">
      <c r="A4" t="s">
        <v>50</v>
      </c>
      <c r="B4">
        <v>1005</v>
      </c>
      <c r="C4" s="2">
        <v>45743</v>
      </c>
      <c r="D4" s="2">
        <v>45868</v>
      </c>
      <c r="E4" s="11"/>
    </row>
    <row r="5" spans="1:5" x14ac:dyDescent="0.2">
      <c r="A5" t="s">
        <v>39</v>
      </c>
      <c r="B5">
        <v>1010</v>
      </c>
      <c r="C5" s="2">
        <v>45866</v>
      </c>
      <c r="D5" s="2"/>
      <c r="E5" s="11"/>
    </row>
    <row r="6" spans="1:5" x14ac:dyDescent="0.2">
      <c r="A6" t="s">
        <v>21</v>
      </c>
      <c r="B6">
        <v>1012</v>
      </c>
      <c r="C6" s="2">
        <v>45808</v>
      </c>
      <c r="D6" s="2">
        <v>45818</v>
      </c>
      <c r="E6" s="11"/>
    </row>
    <row r="7" spans="1:5" x14ac:dyDescent="0.2">
      <c r="A7" t="s">
        <v>18</v>
      </c>
      <c r="B7">
        <v>1009</v>
      </c>
      <c r="C7" s="2">
        <v>45389</v>
      </c>
      <c r="D7" s="2"/>
      <c r="E7" s="11"/>
    </row>
    <row r="8" spans="1:5" x14ac:dyDescent="0.2">
      <c r="A8" t="s">
        <v>30</v>
      </c>
      <c r="B8">
        <v>1011</v>
      </c>
      <c r="C8" s="2">
        <v>45850</v>
      </c>
      <c r="D8" s="2">
        <v>45853</v>
      </c>
      <c r="E8" s="11"/>
    </row>
    <row r="9" spans="1:5" x14ac:dyDescent="0.2">
      <c r="A9" s="3" t="s">
        <v>32</v>
      </c>
      <c r="B9" s="3">
        <v>1005</v>
      </c>
      <c r="C9" s="4">
        <v>45837</v>
      </c>
      <c r="D9" s="4">
        <v>45898</v>
      </c>
      <c r="E9" s="11"/>
    </row>
    <row r="10" spans="1:5" x14ac:dyDescent="0.2">
      <c r="A10" t="s">
        <v>55</v>
      </c>
      <c r="B10">
        <v>1004</v>
      </c>
      <c r="C10" s="2">
        <v>45523</v>
      </c>
      <c r="D10" s="2"/>
      <c r="E10" s="11"/>
    </row>
    <row r="11" spans="1:5" x14ac:dyDescent="0.2">
      <c r="A11" t="s">
        <v>35</v>
      </c>
      <c r="B11">
        <v>1012</v>
      </c>
      <c r="C11" s="2">
        <v>45419</v>
      </c>
      <c r="D11" s="2">
        <v>45470</v>
      </c>
      <c r="E11" s="11"/>
    </row>
    <row r="12" spans="1:5" x14ac:dyDescent="0.2">
      <c r="A12" t="s">
        <v>50</v>
      </c>
      <c r="B12">
        <v>1008</v>
      </c>
      <c r="C12" s="2">
        <v>45375</v>
      </c>
      <c r="D12" s="2"/>
      <c r="E12" s="11"/>
    </row>
    <row r="13" spans="1:5" x14ac:dyDescent="0.2">
      <c r="A13" t="s">
        <v>56</v>
      </c>
      <c r="B13">
        <v>1002</v>
      </c>
      <c r="C13" s="2">
        <v>45921</v>
      </c>
      <c r="D13" s="2">
        <v>45934</v>
      </c>
      <c r="E13" s="11"/>
    </row>
    <row r="14" spans="1:5" x14ac:dyDescent="0.2">
      <c r="A14" t="s">
        <v>18</v>
      </c>
      <c r="B14">
        <v>1006</v>
      </c>
      <c r="C14" s="2">
        <v>45892</v>
      </c>
      <c r="D14" s="2">
        <v>45922</v>
      </c>
      <c r="E14" s="11"/>
    </row>
    <row r="15" spans="1:5" x14ac:dyDescent="0.2">
      <c r="A15" t="s">
        <v>37</v>
      </c>
      <c r="B15">
        <v>1010</v>
      </c>
      <c r="C15" s="2">
        <v>45377</v>
      </c>
      <c r="D15" s="2">
        <v>45886</v>
      </c>
      <c r="E15" s="11"/>
    </row>
    <row r="16" spans="1:5" x14ac:dyDescent="0.2">
      <c r="A16" t="s">
        <v>18</v>
      </c>
      <c r="B16">
        <v>1012</v>
      </c>
      <c r="C16" s="2">
        <v>45599</v>
      </c>
      <c r="D16" s="2"/>
      <c r="E16" s="11"/>
    </row>
    <row r="17" spans="1:5" x14ac:dyDescent="0.2">
      <c r="A17" t="s">
        <v>37</v>
      </c>
      <c r="B17">
        <v>1002</v>
      </c>
      <c r="C17" s="2">
        <v>45519</v>
      </c>
      <c r="D17" s="2"/>
      <c r="E17" s="11"/>
    </row>
    <row r="18" spans="1:5" x14ac:dyDescent="0.2">
      <c r="A18" t="s">
        <v>48</v>
      </c>
      <c r="B18">
        <v>1002</v>
      </c>
      <c r="C18" s="2">
        <v>45899</v>
      </c>
      <c r="D18" s="2">
        <v>45930</v>
      </c>
      <c r="E18" s="11"/>
    </row>
    <row r="19" spans="1:5" x14ac:dyDescent="0.2">
      <c r="A19" t="s">
        <v>41</v>
      </c>
      <c r="B19">
        <v>1011</v>
      </c>
      <c r="C19" s="2">
        <v>45568</v>
      </c>
      <c r="D19" s="2">
        <v>45623</v>
      </c>
      <c r="E19" s="11"/>
    </row>
    <row r="20" spans="1:5" x14ac:dyDescent="0.2">
      <c r="A20" t="s">
        <v>64</v>
      </c>
      <c r="B20">
        <v>1003</v>
      </c>
      <c r="C20" s="2">
        <v>45417</v>
      </c>
      <c r="D20" s="2"/>
      <c r="E20" s="11"/>
    </row>
    <row r="21" spans="1:5" x14ac:dyDescent="0.2">
      <c r="A21" s="3" t="s">
        <v>58</v>
      </c>
      <c r="B21" s="3">
        <v>1004</v>
      </c>
      <c r="C21" s="4">
        <v>45320</v>
      </c>
      <c r="D21" s="4"/>
      <c r="E21" s="11"/>
    </row>
    <row r="22" spans="1:5" x14ac:dyDescent="0.2">
      <c r="A22" t="s">
        <v>54</v>
      </c>
      <c r="B22">
        <v>1004</v>
      </c>
      <c r="C22" s="2">
        <v>45403</v>
      </c>
      <c r="D22" s="2">
        <v>45839</v>
      </c>
      <c r="E22" s="11"/>
    </row>
    <row r="23" spans="1:5" x14ac:dyDescent="0.2">
      <c r="A23" t="s">
        <v>55</v>
      </c>
      <c r="B23">
        <v>1006</v>
      </c>
      <c r="C23" s="2">
        <v>45630</v>
      </c>
      <c r="D23" s="2">
        <v>45732</v>
      </c>
      <c r="E23" s="11"/>
    </row>
    <row r="24" spans="1:5" x14ac:dyDescent="0.2">
      <c r="A24" t="s">
        <v>57</v>
      </c>
      <c r="B24">
        <v>1012</v>
      </c>
      <c r="C24" s="2">
        <v>45792</v>
      </c>
      <c r="D24" s="2">
        <v>45905</v>
      </c>
      <c r="E24" s="11"/>
    </row>
    <row r="25" spans="1:5" x14ac:dyDescent="0.2">
      <c r="A25" t="s">
        <v>24</v>
      </c>
      <c r="B25">
        <v>1001</v>
      </c>
      <c r="C25" s="2">
        <v>45544</v>
      </c>
      <c r="D25" s="2">
        <v>45854</v>
      </c>
      <c r="E25" s="11"/>
    </row>
    <row r="26" spans="1:5" x14ac:dyDescent="0.2">
      <c r="A26" s="3" t="s">
        <v>48</v>
      </c>
      <c r="B26" s="3">
        <v>1002</v>
      </c>
      <c r="C26" s="4">
        <v>45493</v>
      </c>
      <c r="D26" s="4">
        <v>45663</v>
      </c>
      <c r="E26" s="11"/>
    </row>
    <row r="27" spans="1:5" x14ac:dyDescent="0.2">
      <c r="A27" t="s">
        <v>35</v>
      </c>
      <c r="B27">
        <v>1009</v>
      </c>
      <c r="C27" s="2">
        <v>45319</v>
      </c>
      <c r="D27" s="2">
        <v>45714</v>
      </c>
      <c r="E27" s="11"/>
    </row>
    <row r="28" spans="1:5" x14ac:dyDescent="0.2">
      <c r="A28" t="s">
        <v>55</v>
      </c>
      <c r="B28">
        <v>1003</v>
      </c>
      <c r="C28" s="2">
        <v>45595</v>
      </c>
      <c r="D28" s="2">
        <v>45630</v>
      </c>
      <c r="E28" s="11"/>
    </row>
    <row r="29" spans="1:5" x14ac:dyDescent="0.2">
      <c r="A29" t="s">
        <v>39</v>
      </c>
      <c r="B29">
        <v>1002</v>
      </c>
      <c r="C29" s="2">
        <v>45799</v>
      </c>
      <c r="D29" s="2">
        <v>45808</v>
      </c>
      <c r="E29" s="11"/>
    </row>
    <row r="30" spans="1:5" x14ac:dyDescent="0.2">
      <c r="A30" t="s">
        <v>24</v>
      </c>
      <c r="B30">
        <v>1001</v>
      </c>
      <c r="C30" s="2">
        <v>45880</v>
      </c>
      <c r="D30" s="2"/>
      <c r="E30" s="11"/>
    </row>
    <row r="31" spans="1:5" x14ac:dyDescent="0.2">
      <c r="A31" t="s">
        <v>64</v>
      </c>
      <c r="B31">
        <v>1001</v>
      </c>
      <c r="C31" s="2">
        <v>45297</v>
      </c>
      <c r="D31" s="2"/>
      <c r="E31" s="11"/>
    </row>
    <row r="32" spans="1:5" x14ac:dyDescent="0.2">
      <c r="A32" t="s">
        <v>39</v>
      </c>
      <c r="B32">
        <v>1003</v>
      </c>
      <c r="C32" s="2">
        <v>45330</v>
      </c>
      <c r="D32" s="2">
        <v>45817</v>
      </c>
      <c r="E32" s="11"/>
    </row>
    <row r="33" spans="1:5" x14ac:dyDescent="0.2">
      <c r="A33" s="3" t="s">
        <v>58</v>
      </c>
      <c r="B33" s="3">
        <v>1004</v>
      </c>
      <c r="C33" s="4">
        <v>45336</v>
      </c>
      <c r="D33" s="4"/>
      <c r="E33" s="11"/>
    </row>
    <row r="34" spans="1:5" x14ac:dyDescent="0.2">
      <c r="A34" t="s">
        <v>15</v>
      </c>
      <c r="B34">
        <v>1003</v>
      </c>
      <c r="C34" s="2">
        <v>45827</v>
      </c>
      <c r="D34" s="2">
        <v>45908</v>
      </c>
      <c r="E34" s="11"/>
    </row>
    <row r="35" spans="1:5" x14ac:dyDescent="0.2">
      <c r="A35" t="s">
        <v>52</v>
      </c>
      <c r="B35">
        <v>1005</v>
      </c>
      <c r="C35" s="2">
        <v>45675</v>
      </c>
      <c r="D35" s="2"/>
      <c r="E35" s="11"/>
    </row>
    <row r="36" spans="1:5" x14ac:dyDescent="0.2">
      <c r="A36" t="s">
        <v>57</v>
      </c>
      <c r="B36">
        <v>1005</v>
      </c>
      <c r="C36" s="2">
        <v>45261</v>
      </c>
      <c r="D36" s="2">
        <v>45559</v>
      </c>
      <c r="E36" s="11"/>
    </row>
    <row r="37" spans="1:5" x14ac:dyDescent="0.2">
      <c r="A37" t="s">
        <v>60</v>
      </c>
      <c r="B37">
        <v>1003</v>
      </c>
      <c r="C37" s="2">
        <v>45508</v>
      </c>
      <c r="D37" s="2">
        <v>45871</v>
      </c>
      <c r="E37" s="11"/>
    </row>
    <row r="38" spans="1:5" x14ac:dyDescent="0.2">
      <c r="A38" t="s">
        <v>36</v>
      </c>
      <c r="B38">
        <v>1001</v>
      </c>
      <c r="C38" s="2">
        <v>45622</v>
      </c>
      <c r="D38" s="2">
        <v>45719</v>
      </c>
      <c r="E38" s="11"/>
    </row>
    <row r="39" spans="1:5" x14ac:dyDescent="0.2">
      <c r="A39" t="s">
        <v>64</v>
      </c>
      <c r="B39">
        <v>1001</v>
      </c>
      <c r="C39" s="2">
        <v>45641</v>
      </c>
      <c r="D39" s="2"/>
      <c r="E39" s="11"/>
    </row>
    <row r="40" spans="1:5" x14ac:dyDescent="0.2">
      <c r="A40" t="s">
        <v>15</v>
      </c>
      <c r="B40">
        <v>1001</v>
      </c>
      <c r="C40" s="2">
        <v>45880</v>
      </c>
      <c r="D40" s="2">
        <v>45881</v>
      </c>
      <c r="E40" s="11"/>
    </row>
    <row r="41" spans="1:5" x14ac:dyDescent="0.2">
      <c r="A41" t="s">
        <v>61</v>
      </c>
      <c r="B41">
        <v>1009</v>
      </c>
      <c r="C41" s="2">
        <v>45740</v>
      </c>
      <c r="D41" s="2">
        <v>45784</v>
      </c>
      <c r="E41" s="11"/>
    </row>
    <row r="42" spans="1:5" x14ac:dyDescent="0.2">
      <c r="A42" t="s">
        <v>61</v>
      </c>
      <c r="B42">
        <v>1002</v>
      </c>
      <c r="C42" s="2">
        <v>45741</v>
      </c>
      <c r="D42" s="2"/>
      <c r="E42" s="11"/>
    </row>
    <row r="43" spans="1:5" x14ac:dyDescent="0.2">
      <c r="A43" t="s">
        <v>18</v>
      </c>
      <c r="B43">
        <v>1010</v>
      </c>
      <c r="C43" s="2">
        <v>45899</v>
      </c>
      <c r="D43" s="2">
        <v>45925</v>
      </c>
      <c r="E43" s="11"/>
    </row>
    <row r="44" spans="1:5" x14ac:dyDescent="0.2">
      <c r="A44" t="s">
        <v>39</v>
      </c>
      <c r="B44">
        <v>1007</v>
      </c>
      <c r="C44" s="2">
        <v>45795</v>
      </c>
      <c r="D44" s="2">
        <v>45846</v>
      </c>
      <c r="E44" s="11"/>
    </row>
    <row r="45" spans="1:5" x14ac:dyDescent="0.2">
      <c r="A45" t="s">
        <v>39</v>
      </c>
      <c r="B45">
        <v>1010</v>
      </c>
      <c r="C45" s="2">
        <v>45808</v>
      </c>
      <c r="D45" s="2">
        <v>45932</v>
      </c>
      <c r="E45" s="11"/>
    </row>
    <row r="46" spans="1:5" x14ac:dyDescent="0.2">
      <c r="A46" t="s">
        <v>21</v>
      </c>
      <c r="B46">
        <v>1007</v>
      </c>
      <c r="C46" s="2">
        <v>45476</v>
      </c>
      <c r="D46" s="2"/>
      <c r="E46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6"/>
  <sheetViews>
    <sheetView tabSelected="1" workbookViewId="0">
      <selection activeCell="E52" sqref="E52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2" customWidth="1"/>
    <col min="4" max="4" width="13" customWidth="1"/>
    <col min="5" max="5" width="12" customWidth="1"/>
    <col min="6" max="6" width="18" customWidth="1"/>
    <col min="7" max="7" width="12" customWidth="1"/>
    <col min="8" max="8" width="17" customWidth="1"/>
    <col min="9" max="9" width="12" customWidth="1"/>
  </cols>
  <sheetData>
    <row r="1" spans="1:9" x14ac:dyDescent="0.2">
      <c r="A1" s="1" t="s">
        <v>0</v>
      </c>
      <c r="B1" s="1" t="s">
        <v>65</v>
      </c>
      <c r="C1" s="1" t="s">
        <v>84</v>
      </c>
      <c r="D1" s="1" t="s">
        <v>85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">
      <c r="A2" t="str">
        <f>Ausleihen!A2</f>
        <v>G0035</v>
      </c>
      <c r="B2">
        <f>Ausleihen!B2</f>
        <v>1009</v>
      </c>
      <c r="C2" s="2">
        <f>Ausleihen!C2</f>
        <v>45421</v>
      </c>
      <c r="D2" s="2" t="str">
        <f>IF(Ausleihen!D2="","",Ausleihen!D2)</f>
        <v/>
      </c>
      <c r="E2" t="str">
        <f>INDEX(Geraete!$B$2:$B$36,MATCH($A2,Geraete!$A$2:$A$36,0))</f>
        <v>Beamer</v>
      </c>
      <c r="F2" t="str">
        <f>INDEX(Geraete!$C$2:$C$36,MATCH($A2,Geraete!$A$2:$A$36,0))</f>
        <v>BenQ MW550</v>
      </c>
      <c r="G2" s="2">
        <f>INDEX(Geraete!$D$2:$D$36,MATCH($A2,Geraete!$A$2:$A$36,0))</f>
        <v>45294</v>
      </c>
      <c r="H2">
        <f>INDEX(Geraete!$E$2:$E$36,MATCH($A2,Geraete!$A$2:$A$36,0))</f>
        <v>644.54</v>
      </c>
      <c r="I2" t="str">
        <f>INDEX(Geraete!$F$2:$F$36,MATCH($A2,Geraete!$A$2:$A$36,0))</f>
        <v>Berlin</v>
      </c>
    </row>
    <row r="3" spans="1:9" x14ac:dyDescent="0.2">
      <c r="A3" t="str">
        <f>Ausleihen!A3</f>
        <v>G0021</v>
      </c>
      <c r="B3">
        <f>Ausleihen!B3</f>
        <v>1008</v>
      </c>
      <c r="C3" s="2">
        <f>Ausleihen!C3</f>
        <v>45930</v>
      </c>
      <c r="D3" s="2">
        <f>IF(Ausleihen!D3="","",Ausleihen!D3)</f>
        <v>45935</v>
      </c>
      <c r="E3" t="str">
        <f>INDEX(Geraete!$B$2:$B$36,MATCH($A3,Geraete!$A$2:$A$36,0))</f>
        <v>Monitor</v>
      </c>
      <c r="F3" t="str">
        <f>INDEX(Geraete!$C$2:$C$36,MATCH($A3,Geraete!$A$2:$A$36,0))</f>
        <v>Samsung Curved</v>
      </c>
      <c r="G3" s="2">
        <f>INDEX(Geraete!$D$2:$D$36,MATCH($A3,Geraete!$A$2:$A$36,0))</f>
        <v>44979</v>
      </c>
      <c r="H3">
        <f>INDEX(Geraete!$E$2:$E$36,MATCH($A3,Geraete!$A$2:$A$36,0))</f>
        <v>1134.1600000000001</v>
      </c>
      <c r="I3" t="str">
        <f>INDEX(Geraete!$F$2:$F$36,MATCH($A3,Geraete!$A$2:$A$36,0))</f>
        <v>München</v>
      </c>
    </row>
    <row r="4" spans="1:9" x14ac:dyDescent="0.2">
      <c r="A4" t="str">
        <f>Ausleihen!A4</f>
        <v>G0024</v>
      </c>
      <c r="B4">
        <f>Ausleihen!B4</f>
        <v>1005</v>
      </c>
      <c r="C4" s="2">
        <f>Ausleihen!C4</f>
        <v>45743</v>
      </c>
      <c r="D4" s="2">
        <f>IF(Ausleihen!D4="","",Ausleihen!D4)</f>
        <v>45868</v>
      </c>
      <c r="E4" t="str">
        <f>INDEX(Geraete!$B$2:$B$36,MATCH($A4,Geraete!$A$2:$A$36,0))</f>
        <v>Monitor</v>
      </c>
      <c r="F4" t="str">
        <f>INDEX(Geraete!$C$2:$C$36,MATCH($A4,Geraete!$A$2:$A$36,0))</f>
        <v>Dell UltraSharp</v>
      </c>
      <c r="G4" s="2">
        <f>INDEX(Geraete!$D$2:$D$36,MATCH($A4,Geraete!$A$2:$A$36,0))</f>
        <v>44621</v>
      </c>
      <c r="H4">
        <f>INDEX(Geraete!$E$2:$E$36,MATCH($A4,Geraete!$A$2:$A$36,0))</f>
        <v>750.91</v>
      </c>
      <c r="I4" t="str">
        <f>INDEX(Geraete!$F$2:$F$36,MATCH($A4,Geraete!$A$2:$A$36,0))</f>
        <v>Berlin</v>
      </c>
    </row>
    <row r="5" spans="1:9" x14ac:dyDescent="0.2">
      <c r="A5" t="str">
        <f>Ausleihen!A5</f>
        <v>G0016</v>
      </c>
      <c r="B5">
        <f>Ausleihen!B5</f>
        <v>1010</v>
      </c>
      <c r="C5" s="2">
        <f>Ausleihen!C5</f>
        <v>45866</v>
      </c>
      <c r="D5" s="2" t="str">
        <f>IF(Ausleihen!D5="","",Ausleihen!D5)</f>
        <v/>
      </c>
      <c r="E5" t="str">
        <f>INDEX(Geraete!$B$2:$B$36,MATCH($A5,Geraete!$A$2:$A$36,0))</f>
        <v>Drucker</v>
      </c>
      <c r="F5" t="str">
        <f>INDEX(Geraete!$C$2:$C$36,MATCH($A5,Geraete!$A$2:$A$36,0))</f>
        <v>Canon Pixma</v>
      </c>
      <c r="G5" s="2">
        <f>INDEX(Geraete!$D$2:$D$36,MATCH($A5,Geraete!$A$2:$A$36,0))</f>
        <v>45015</v>
      </c>
      <c r="H5">
        <f>INDEX(Geraete!$E$2:$E$36,MATCH($A5,Geraete!$A$2:$A$36,0))</f>
        <v>1501.06</v>
      </c>
      <c r="I5" t="str">
        <f>INDEX(Geraete!$F$2:$F$36,MATCH($A5,Geraete!$A$2:$A$36,0))</f>
        <v>Berlin</v>
      </c>
    </row>
    <row r="6" spans="1:9" x14ac:dyDescent="0.2">
      <c r="A6" t="str">
        <f>Ausleihen!A6</f>
        <v>G0006</v>
      </c>
      <c r="B6">
        <f>Ausleihen!B6</f>
        <v>1012</v>
      </c>
      <c r="C6" s="2">
        <f>Ausleihen!C6</f>
        <v>45808</v>
      </c>
      <c r="D6" s="2">
        <f>IF(Ausleihen!D6="","",Ausleihen!D6)</f>
        <v>45818</v>
      </c>
      <c r="E6" t="str">
        <f>INDEX(Geraete!$B$2:$B$36,MATCH($A6,Geraete!$A$2:$A$36,0))</f>
        <v>Smartphone</v>
      </c>
      <c r="F6" t="str">
        <f>INDEX(Geraete!$C$2:$C$36,MATCH($A6,Geraete!$A$2:$A$36,0))</f>
        <v>Samsung S21</v>
      </c>
      <c r="G6" s="2">
        <f>INDEX(Geraete!$D$2:$D$36,MATCH($A6,Geraete!$A$2:$A$36,0))</f>
        <v>45292</v>
      </c>
      <c r="H6">
        <f>INDEX(Geraete!$E$2:$E$36,MATCH($A6,Geraete!$A$2:$A$36,0))</f>
        <v>1257.96</v>
      </c>
      <c r="I6" t="str">
        <f>INDEX(Geraete!$F$2:$F$36,MATCH($A6,Geraete!$A$2:$A$36,0))</f>
        <v>München</v>
      </c>
    </row>
    <row r="7" spans="1:9" x14ac:dyDescent="0.2">
      <c r="A7" t="str">
        <f>Ausleihen!A7</f>
        <v>G0005</v>
      </c>
      <c r="B7">
        <f>Ausleihen!B7</f>
        <v>1009</v>
      </c>
      <c r="C7" s="2">
        <f>Ausleihen!C7</f>
        <v>45389</v>
      </c>
      <c r="D7" s="2" t="str">
        <f>IF(Ausleihen!D7="","",Ausleihen!D7)</f>
        <v/>
      </c>
      <c r="E7" t="str">
        <f>INDEX(Geraete!$B$2:$B$36,MATCH($A7,Geraete!$A$2:$A$36,0))</f>
        <v>Drucker</v>
      </c>
      <c r="F7" t="str">
        <f>INDEX(Geraete!$C$2:$C$36,MATCH($A7,Geraete!$A$2:$A$36,0))</f>
        <v>Canon Pixma</v>
      </c>
      <c r="G7" s="2">
        <f>INDEX(Geraete!$D$2:$D$36,MATCH($A7,Geraete!$A$2:$A$36,0))</f>
        <v>44503</v>
      </c>
      <c r="H7">
        <f>INDEX(Geraete!$E$2:$E$36,MATCH($A7,Geraete!$A$2:$A$36,0))</f>
        <v>823.23</v>
      </c>
      <c r="I7" t="str">
        <f>INDEX(Geraete!$F$2:$F$36,MATCH($A7,Geraete!$A$2:$A$36,0))</f>
        <v>Berlin</v>
      </c>
    </row>
    <row r="8" spans="1:9" x14ac:dyDescent="0.2">
      <c r="A8" t="str">
        <f>Ausleihen!A8</f>
        <v>G0009</v>
      </c>
      <c r="B8">
        <f>Ausleihen!B8</f>
        <v>1011</v>
      </c>
      <c r="C8" s="2">
        <f>Ausleihen!C8</f>
        <v>45850</v>
      </c>
      <c r="D8" s="2">
        <f>IF(Ausleihen!D8="","",Ausleihen!D8)</f>
        <v>45853</v>
      </c>
      <c r="E8" t="str">
        <f>INDEX(Geraete!$B$2:$B$36,MATCH($A8,Geraete!$A$2:$A$36,0))</f>
        <v>Laptop</v>
      </c>
      <c r="F8" t="str">
        <f>INDEX(Geraete!$C$2:$C$36,MATCH($A8,Geraete!$A$2:$A$36,0))</f>
        <v>Dell XPS</v>
      </c>
      <c r="G8" s="2">
        <f>INDEX(Geraete!$D$2:$D$36,MATCH($A8,Geraete!$A$2:$A$36,0))</f>
        <v>45026</v>
      </c>
      <c r="H8">
        <f>INDEX(Geraete!$E$2:$E$36,MATCH($A8,Geraete!$A$2:$A$36,0))</f>
        <v>1458.02</v>
      </c>
      <c r="I8" t="str">
        <f>INDEX(Geraete!$F$2:$F$36,MATCH($A8,Geraete!$A$2:$A$36,0))</f>
        <v>München</v>
      </c>
    </row>
    <row r="9" spans="1:9" x14ac:dyDescent="0.2">
      <c r="A9" t="str">
        <f>Ausleihen!A9</f>
        <v>G0011</v>
      </c>
      <c r="B9">
        <f>Ausleihen!B9</f>
        <v>1005</v>
      </c>
      <c r="C9" s="2">
        <f>Ausleihen!C9</f>
        <v>45837</v>
      </c>
      <c r="D9" s="2">
        <f>IF(Ausleihen!D9="","",Ausleihen!D9)</f>
        <v>45898</v>
      </c>
      <c r="E9" t="str">
        <f>INDEX(Geraete!$B$2:$B$36,MATCH($A9,Geraete!$A$2:$A$36,0))</f>
        <v>Drucker</v>
      </c>
      <c r="F9" t="str">
        <f>INDEX(Geraete!$C$2:$C$36,MATCH($A9,Geraete!$A$2:$A$36,0))</f>
        <v>Brother HL</v>
      </c>
      <c r="G9" s="2">
        <f>INDEX(Geraete!$D$2:$D$36,MATCH($A9,Geraete!$A$2:$A$36,0))</f>
        <v>45909</v>
      </c>
      <c r="H9">
        <f>INDEX(Geraete!$E$2:$E$36,MATCH($A9,Geraete!$A$2:$A$36,0))</f>
        <v>1417.1</v>
      </c>
      <c r="I9" t="str">
        <f>INDEX(Geraete!$F$2:$F$36,MATCH($A9,Geraete!$A$2:$A$36,0))</f>
        <v>München</v>
      </c>
    </row>
    <row r="10" spans="1:9" x14ac:dyDescent="0.2">
      <c r="A10" t="str">
        <f>Ausleihen!A10</f>
        <v>G0028</v>
      </c>
      <c r="B10">
        <f>Ausleihen!B10</f>
        <v>1004</v>
      </c>
      <c r="C10" s="2">
        <f>Ausleihen!C10</f>
        <v>45523</v>
      </c>
      <c r="D10" s="2" t="str">
        <f>IF(Ausleihen!D10="","",Ausleihen!D10)</f>
        <v/>
      </c>
      <c r="E10" t="str">
        <f>INDEX(Geraete!$B$2:$B$36,MATCH($A10,Geraete!$A$2:$A$36,0))</f>
        <v>Beamer</v>
      </c>
      <c r="F10" t="str">
        <f>INDEX(Geraete!$C$2:$C$36,MATCH($A10,Geraete!$A$2:$A$36,0))</f>
        <v>Epson EB</v>
      </c>
      <c r="G10" s="2">
        <f>INDEX(Geraete!$D$2:$D$36,MATCH($A10,Geraete!$A$2:$A$36,0))</f>
        <v>44945</v>
      </c>
      <c r="H10">
        <f>INDEX(Geraete!$E$2:$E$36,MATCH($A10,Geraete!$A$2:$A$36,0))</f>
        <v>1246.58</v>
      </c>
      <c r="I10" t="str">
        <f>INDEX(Geraete!$F$2:$F$36,MATCH($A10,Geraete!$A$2:$A$36,0))</f>
        <v>Hamburg</v>
      </c>
    </row>
    <row r="11" spans="1:9" x14ac:dyDescent="0.2">
      <c r="A11" t="str">
        <f>Ausleihen!A11</f>
        <v>G0013</v>
      </c>
      <c r="B11">
        <f>Ausleihen!B11</f>
        <v>1012</v>
      </c>
      <c r="C11" s="2">
        <f>Ausleihen!C11</f>
        <v>45419</v>
      </c>
      <c r="D11" s="2">
        <f>IF(Ausleihen!D11="","",Ausleihen!D11)</f>
        <v>45470</v>
      </c>
      <c r="E11" t="str">
        <f>INDEX(Geraete!$B$2:$B$36,MATCH($A11,Geraete!$A$2:$A$36,0))</f>
        <v>Drucker</v>
      </c>
      <c r="F11" t="str">
        <f>INDEX(Geraete!$C$2:$C$36,MATCH($A11,Geraete!$A$2:$A$36,0))</f>
        <v>Canon Pixma</v>
      </c>
      <c r="G11" s="2">
        <f>INDEX(Geraete!$D$2:$D$36,MATCH($A11,Geraete!$A$2:$A$36,0))</f>
        <v>44332</v>
      </c>
      <c r="H11">
        <f>INDEX(Geraete!$E$2:$E$36,MATCH($A11,Geraete!$A$2:$A$36,0))</f>
        <v>1898.65</v>
      </c>
      <c r="I11" t="str">
        <f>INDEX(Geraete!$F$2:$F$36,MATCH($A11,Geraete!$A$2:$A$36,0))</f>
        <v>Hamburg</v>
      </c>
    </row>
    <row r="12" spans="1:9" x14ac:dyDescent="0.2">
      <c r="A12" t="str">
        <f>Ausleihen!A12</f>
        <v>G0024</v>
      </c>
      <c r="B12">
        <f>Ausleihen!B12</f>
        <v>1008</v>
      </c>
      <c r="C12" s="2">
        <f>Ausleihen!C12</f>
        <v>45375</v>
      </c>
      <c r="D12" s="2" t="str">
        <f>IF(Ausleihen!D12="","",Ausleihen!D12)</f>
        <v/>
      </c>
      <c r="E12" t="str">
        <f>INDEX(Geraete!$B$2:$B$36,MATCH($A12,Geraete!$A$2:$A$36,0))</f>
        <v>Monitor</v>
      </c>
      <c r="F12" t="str">
        <f>INDEX(Geraete!$C$2:$C$36,MATCH($A12,Geraete!$A$2:$A$36,0))</f>
        <v>Dell UltraSharp</v>
      </c>
      <c r="G12" s="2">
        <f>INDEX(Geraete!$D$2:$D$36,MATCH($A12,Geraete!$A$2:$A$36,0))</f>
        <v>44621</v>
      </c>
      <c r="H12">
        <f>INDEX(Geraete!$E$2:$E$36,MATCH($A12,Geraete!$A$2:$A$36,0))</f>
        <v>750.91</v>
      </c>
      <c r="I12" t="str">
        <f>INDEX(Geraete!$F$2:$F$36,MATCH($A12,Geraete!$A$2:$A$36,0))</f>
        <v>Berlin</v>
      </c>
    </row>
    <row r="13" spans="1:9" x14ac:dyDescent="0.2">
      <c r="A13" t="str">
        <f>Ausleihen!A13</f>
        <v>G0029</v>
      </c>
      <c r="B13">
        <f>Ausleihen!B13</f>
        <v>1002</v>
      </c>
      <c r="C13" s="2">
        <f>Ausleihen!C13</f>
        <v>45921</v>
      </c>
      <c r="D13" s="2">
        <f>IF(Ausleihen!D13="","",Ausleihen!D13)</f>
        <v>45934</v>
      </c>
      <c r="E13" t="str">
        <f>INDEX(Geraete!$B$2:$B$36,MATCH($A13,Geraete!$A$2:$A$36,0))</f>
        <v>Laptop</v>
      </c>
      <c r="F13" t="str">
        <f>INDEX(Geraete!$C$2:$C$36,MATCH($A13,Geraete!$A$2:$A$36,0))</f>
        <v>Lenovo ThinkPad</v>
      </c>
      <c r="G13" s="2">
        <f>INDEX(Geraete!$D$2:$D$36,MATCH($A13,Geraete!$A$2:$A$36,0))</f>
        <v>44337</v>
      </c>
      <c r="H13">
        <f>INDEX(Geraete!$E$2:$E$36,MATCH($A13,Geraete!$A$2:$A$36,0))</f>
        <v>1553.15</v>
      </c>
      <c r="I13" t="str">
        <f>INDEX(Geraete!$F$2:$F$36,MATCH($A13,Geraete!$A$2:$A$36,0))</f>
        <v>Hamburg</v>
      </c>
    </row>
    <row r="14" spans="1:9" x14ac:dyDescent="0.2">
      <c r="A14" t="str">
        <f>Ausleihen!A14</f>
        <v>G0005</v>
      </c>
      <c r="B14">
        <f>Ausleihen!B14</f>
        <v>1006</v>
      </c>
      <c r="C14" s="2">
        <f>Ausleihen!C14</f>
        <v>45892</v>
      </c>
      <c r="D14" s="2">
        <f>IF(Ausleihen!D14="","",Ausleihen!D14)</f>
        <v>45922</v>
      </c>
      <c r="E14" t="str">
        <f>INDEX(Geraete!$B$2:$B$36,MATCH($A14,Geraete!$A$2:$A$36,0))</f>
        <v>Drucker</v>
      </c>
      <c r="F14" t="str">
        <f>INDEX(Geraete!$C$2:$C$36,MATCH($A14,Geraete!$A$2:$A$36,0))</f>
        <v>Canon Pixma</v>
      </c>
      <c r="G14" s="2">
        <f>INDEX(Geraete!$D$2:$D$36,MATCH($A14,Geraete!$A$2:$A$36,0))</f>
        <v>44503</v>
      </c>
      <c r="H14">
        <f>INDEX(Geraete!$E$2:$E$36,MATCH($A14,Geraete!$A$2:$A$36,0))</f>
        <v>823.23</v>
      </c>
      <c r="I14" t="str">
        <f>INDEX(Geraete!$F$2:$F$36,MATCH($A14,Geraete!$A$2:$A$36,0))</f>
        <v>Berlin</v>
      </c>
    </row>
    <row r="15" spans="1:9" x14ac:dyDescent="0.2">
      <c r="A15" t="str">
        <f>Ausleihen!A15</f>
        <v>G0015</v>
      </c>
      <c r="B15">
        <f>Ausleihen!B15</f>
        <v>1010</v>
      </c>
      <c r="C15" s="2">
        <f>Ausleihen!C15</f>
        <v>45377</v>
      </c>
      <c r="D15" s="2">
        <f>IF(Ausleihen!D15="","",Ausleihen!D15)</f>
        <v>45886</v>
      </c>
      <c r="E15" t="str">
        <f>INDEX(Geraete!$B$2:$B$36,MATCH($A15,Geraete!$A$2:$A$36,0))</f>
        <v>Smartphone</v>
      </c>
      <c r="F15" t="str">
        <f>INDEX(Geraete!$C$2:$C$36,MATCH($A15,Geraete!$A$2:$A$36,0))</f>
        <v>iPhone 13</v>
      </c>
      <c r="G15" s="2">
        <f>INDEX(Geraete!$D$2:$D$36,MATCH($A15,Geraete!$A$2:$A$36,0))</f>
        <v>44824</v>
      </c>
      <c r="H15">
        <f>INDEX(Geraete!$E$2:$E$36,MATCH($A15,Geraete!$A$2:$A$36,0))</f>
        <v>661.44</v>
      </c>
      <c r="I15" t="str">
        <f>INDEX(Geraete!$F$2:$F$36,MATCH($A15,Geraete!$A$2:$A$36,0))</f>
        <v>München</v>
      </c>
    </row>
    <row r="16" spans="1:9" x14ac:dyDescent="0.2">
      <c r="A16" t="str">
        <f>Ausleihen!A16</f>
        <v>G0005</v>
      </c>
      <c r="B16">
        <f>Ausleihen!B16</f>
        <v>1012</v>
      </c>
      <c r="C16" s="2">
        <f>Ausleihen!C16</f>
        <v>45599</v>
      </c>
      <c r="D16" s="2" t="str">
        <f>IF(Ausleihen!D16="","",Ausleihen!D16)</f>
        <v/>
      </c>
      <c r="E16" t="str">
        <f>INDEX(Geraete!$B$2:$B$36,MATCH($A16,Geraete!$A$2:$A$36,0))</f>
        <v>Drucker</v>
      </c>
      <c r="F16" t="str">
        <f>INDEX(Geraete!$C$2:$C$36,MATCH($A16,Geraete!$A$2:$A$36,0))</f>
        <v>Canon Pixma</v>
      </c>
      <c r="G16" s="2">
        <f>INDEX(Geraete!$D$2:$D$36,MATCH($A16,Geraete!$A$2:$A$36,0))</f>
        <v>44503</v>
      </c>
      <c r="H16">
        <f>INDEX(Geraete!$E$2:$E$36,MATCH($A16,Geraete!$A$2:$A$36,0))</f>
        <v>823.23</v>
      </c>
      <c r="I16" t="str">
        <f>INDEX(Geraete!$F$2:$F$36,MATCH($A16,Geraete!$A$2:$A$36,0))</f>
        <v>Berlin</v>
      </c>
    </row>
    <row r="17" spans="1:9" x14ac:dyDescent="0.2">
      <c r="A17" t="str">
        <f>Ausleihen!A17</f>
        <v>G0015</v>
      </c>
      <c r="B17">
        <f>Ausleihen!B17</f>
        <v>1002</v>
      </c>
      <c r="C17" s="2">
        <f>Ausleihen!C17</f>
        <v>45519</v>
      </c>
      <c r="D17" s="2" t="str">
        <f>IF(Ausleihen!D17="","",Ausleihen!D17)</f>
        <v/>
      </c>
      <c r="E17" t="str">
        <f>INDEX(Geraete!$B$2:$B$36,MATCH($A17,Geraete!$A$2:$A$36,0))</f>
        <v>Smartphone</v>
      </c>
      <c r="F17" t="str">
        <f>INDEX(Geraete!$C$2:$C$36,MATCH($A17,Geraete!$A$2:$A$36,0))</f>
        <v>iPhone 13</v>
      </c>
      <c r="G17" s="2">
        <f>INDEX(Geraete!$D$2:$D$36,MATCH($A17,Geraete!$A$2:$A$36,0))</f>
        <v>44824</v>
      </c>
      <c r="H17">
        <f>INDEX(Geraete!$E$2:$E$36,MATCH($A17,Geraete!$A$2:$A$36,0))</f>
        <v>661.44</v>
      </c>
      <c r="I17" t="str">
        <f>INDEX(Geraete!$F$2:$F$36,MATCH($A17,Geraete!$A$2:$A$36,0))</f>
        <v>München</v>
      </c>
    </row>
    <row r="18" spans="1:9" x14ac:dyDescent="0.2">
      <c r="A18" t="str">
        <f>Ausleihen!A18</f>
        <v>G0022</v>
      </c>
      <c r="B18">
        <f>Ausleihen!B18</f>
        <v>1002</v>
      </c>
      <c r="C18" s="2">
        <f>Ausleihen!C18</f>
        <v>45899</v>
      </c>
      <c r="D18" s="2">
        <f>IF(Ausleihen!D18="","",Ausleihen!D18)</f>
        <v>45930</v>
      </c>
      <c r="E18" t="str">
        <f>INDEX(Geraete!$B$2:$B$36,MATCH($A18,Geraete!$A$2:$A$36,0))</f>
        <v>Tablet</v>
      </c>
      <c r="F18" t="str">
        <f>INDEX(Geraete!$C$2:$C$36,MATCH($A18,Geraete!$A$2:$A$36,0))</f>
        <v>iPad</v>
      </c>
      <c r="G18" s="2">
        <f>INDEX(Geraete!$D$2:$D$36,MATCH($A18,Geraete!$A$2:$A$36,0))</f>
        <v>45524</v>
      </c>
      <c r="H18">
        <f>INDEX(Geraete!$E$2:$E$36,MATCH($A18,Geraete!$A$2:$A$36,0))</f>
        <v>1591.98</v>
      </c>
      <c r="I18" t="str">
        <f>INDEX(Geraete!$F$2:$F$36,MATCH($A18,Geraete!$A$2:$A$36,0))</f>
        <v>Hamburg</v>
      </c>
    </row>
    <row r="19" spans="1:9" x14ac:dyDescent="0.2">
      <c r="A19" t="str">
        <f>Ausleihen!A19</f>
        <v>G0018</v>
      </c>
      <c r="B19">
        <f>Ausleihen!B19</f>
        <v>1011</v>
      </c>
      <c r="C19" s="2">
        <f>Ausleihen!C19</f>
        <v>45568</v>
      </c>
      <c r="D19" s="2">
        <f>IF(Ausleihen!D19="","",Ausleihen!D19)</f>
        <v>45623</v>
      </c>
      <c r="E19" t="str">
        <f>INDEX(Geraete!$B$2:$B$36,MATCH($A19,Geraete!$A$2:$A$36,0))</f>
        <v>Tablet</v>
      </c>
      <c r="F19" t="str">
        <f>INDEX(Geraete!$C$2:$C$36,MATCH($A19,Geraete!$A$2:$A$36,0))</f>
        <v>iPad</v>
      </c>
      <c r="G19" s="2">
        <f>INDEX(Geraete!$D$2:$D$36,MATCH($A19,Geraete!$A$2:$A$36,0))</f>
        <v>44839</v>
      </c>
      <c r="H19">
        <f>INDEX(Geraete!$E$2:$E$36,MATCH($A19,Geraete!$A$2:$A$36,0))</f>
        <v>1688.07</v>
      </c>
      <c r="I19" t="str">
        <f>INDEX(Geraete!$F$2:$F$36,MATCH($A19,Geraete!$A$2:$A$36,0))</f>
        <v>München</v>
      </c>
    </row>
    <row r="20" spans="1:9" x14ac:dyDescent="0.2">
      <c r="A20" t="str">
        <f>Ausleihen!A20</f>
        <v>G0035</v>
      </c>
      <c r="B20">
        <f>Ausleihen!B20</f>
        <v>1003</v>
      </c>
      <c r="C20" s="2">
        <f>Ausleihen!C20</f>
        <v>45417</v>
      </c>
      <c r="D20" s="2" t="str">
        <f>IF(Ausleihen!D20="","",Ausleihen!D20)</f>
        <v/>
      </c>
      <c r="E20" t="str">
        <f>INDEX(Geraete!$B$2:$B$36,MATCH($A20,Geraete!$A$2:$A$36,0))</f>
        <v>Beamer</v>
      </c>
      <c r="F20" t="str">
        <f>INDEX(Geraete!$C$2:$C$36,MATCH($A20,Geraete!$A$2:$A$36,0))</f>
        <v>BenQ MW550</v>
      </c>
      <c r="G20" s="2">
        <f>INDEX(Geraete!$D$2:$D$36,MATCH($A20,Geraete!$A$2:$A$36,0))</f>
        <v>45294</v>
      </c>
      <c r="H20">
        <f>INDEX(Geraete!$E$2:$E$36,MATCH($A20,Geraete!$A$2:$A$36,0))</f>
        <v>644.54</v>
      </c>
      <c r="I20" t="str">
        <f>INDEX(Geraete!$F$2:$F$36,MATCH($A20,Geraete!$A$2:$A$36,0))</f>
        <v>Berlin</v>
      </c>
    </row>
    <row r="21" spans="1:9" x14ac:dyDescent="0.2">
      <c r="A21" t="str">
        <f>Ausleihen!A21</f>
        <v>G0031</v>
      </c>
      <c r="B21">
        <f>Ausleihen!B21</f>
        <v>1004</v>
      </c>
      <c r="C21" s="2">
        <f>Ausleihen!C21</f>
        <v>45320</v>
      </c>
      <c r="D21" s="2" t="str">
        <f>IF(Ausleihen!D21="","",Ausleihen!D21)</f>
        <v/>
      </c>
      <c r="E21" t="str">
        <f>INDEX(Geraete!$B$2:$B$36,MATCH($A21,Geraete!$A$2:$A$36,0))</f>
        <v>Laptop</v>
      </c>
      <c r="F21" t="str">
        <f>INDEX(Geraete!$C$2:$C$36,MATCH($A21,Geraete!$A$2:$A$36,0))</f>
        <v>HP EliteBook</v>
      </c>
      <c r="G21" s="2">
        <f>INDEX(Geraete!$D$2:$D$36,MATCH($A21,Geraete!$A$2:$A$36,0))</f>
        <v>45775</v>
      </c>
      <c r="H21">
        <f>INDEX(Geraete!$E$2:$E$36,MATCH($A21,Geraete!$A$2:$A$36,0))</f>
        <v>1095.6199999999999</v>
      </c>
      <c r="I21" t="str">
        <f>INDEX(Geraete!$F$2:$F$36,MATCH($A21,Geraete!$A$2:$A$36,0))</f>
        <v>München</v>
      </c>
    </row>
    <row r="22" spans="1:9" x14ac:dyDescent="0.2">
      <c r="A22" t="str">
        <f>Ausleihen!A22</f>
        <v>G0027</v>
      </c>
      <c r="B22">
        <f>Ausleihen!B22</f>
        <v>1004</v>
      </c>
      <c r="C22" s="2">
        <f>Ausleihen!C22</f>
        <v>45403</v>
      </c>
      <c r="D22" s="2">
        <f>IF(Ausleihen!D22="","",Ausleihen!D22)</f>
        <v>45839</v>
      </c>
      <c r="E22" t="str">
        <f>INDEX(Geraete!$B$2:$B$36,MATCH($A22,Geraete!$A$2:$A$36,0))</f>
        <v>Monitor</v>
      </c>
      <c r="F22" t="str">
        <f>INDEX(Geraete!$C$2:$C$36,MATCH($A22,Geraete!$A$2:$A$36,0))</f>
        <v>Samsung Curved</v>
      </c>
      <c r="G22" s="2">
        <f>INDEX(Geraete!$D$2:$D$36,MATCH($A22,Geraete!$A$2:$A$36,0))</f>
        <v>44766</v>
      </c>
      <c r="H22">
        <f>INDEX(Geraete!$E$2:$E$36,MATCH($A22,Geraete!$A$2:$A$36,0))</f>
        <v>501.64</v>
      </c>
      <c r="I22" t="str">
        <f>INDEX(Geraete!$F$2:$F$36,MATCH($A22,Geraete!$A$2:$A$36,0))</f>
        <v>München</v>
      </c>
    </row>
    <row r="23" spans="1:9" x14ac:dyDescent="0.2">
      <c r="A23" t="str">
        <f>Ausleihen!A23</f>
        <v>G0028</v>
      </c>
      <c r="B23">
        <f>Ausleihen!B23</f>
        <v>1006</v>
      </c>
      <c r="C23" s="2">
        <f>Ausleihen!C23</f>
        <v>45630</v>
      </c>
      <c r="D23" s="2">
        <f>IF(Ausleihen!D23="","",Ausleihen!D23)</f>
        <v>45732</v>
      </c>
      <c r="E23" t="str">
        <f>INDEX(Geraete!$B$2:$B$36,MATCH($A23,Geraete!$A$2:$A$36,0))</f>
        <v>Beamer</v>
      </c>
      <c r="F23" t="str">
        <f>INDEX(Geraete!$C$2:$C$36,MATCH($A23,Geraete!$A$2:$A$36,0))</f>
        <v>Epson EB</v>
      </c>
      <c r="G23" s="2">
        <f>INDEX(Geraete!$D$2:$D$36,MATCH($A23,Geraete!$A$2:$A$36,0))</f>
        <v>44945</v>
      </c>
      <c r="H23">
        <f>INDEX(Geraete!$E$2:$E$36,MATCH($A23,Geraete!$A$2:$A$36,0))</f>
        <v>1246.58</v>
      </c>
      <c r="I23" t="str">
        <f>INDEX(Geraete!$F$2:$F$36,MATCH($A23,Geraete!$A$2:$A$36,0))</f>
        <v>Hamburg</v>
      </c>
    </row>
    <row r="24" spans="1:9" x14ac:dyDescent="0.2">
      <c r="A24" t="str">
        <f>Ausleihen!A24</f>
        <v>G0030</v>
      </c>
      <c r="B24">
        <f>Ausleihen!B24</f>
        <v>1012</v>
      </c>
      <c r="C24" s="2">
        <f>Ausleihen!C24</f>
        <v>45792</v>
      </c>
      <c r="D24" s="2">
        <f>IF(Ausleihen!D24="","",Ausleihen!D24)</f>
        <v>45905</v>
      </c>
      <c r="E24" t="str">
        <f>INDEX(Geraete!$B$2:$B$36,MATCH($A24,Geraete!$A$2:$A$36,0))</f>
        <v>Beamer</v>
      </c>
      <c r="F24" t="str">
        <f>INDEX(Geraete!$C$2:$C$36,MATCH($A24,Geraete!$A$2:$A$36,0))</f>
        <v>Epson EB</v>
      </c>
      <c r="G24" s="2">
        <f>INDEX(Geraete!$D$2:$D$36,MATCH($A24,Geraete!$A$2:$A$36,0))</f>
        <v>44647</v>
      </c>
      <c r="H24">
        <f>INDEX(Geraete!$E$2:$E$36,MATCH($A24,Geraete!$A$2:$A$36,0))</f>
        <v>1629.76</v>
      </c>
      <c r="I24" t="str">
        <f>INDEX(Geraete!$F$2:$F$36,MATCH($A24,Geraete!$A$2:$A$36,0))</f>
        <v>München</v>
      </c>
    </row>
    <row r="25" spans="1:9" x14ac:dyDescent="0.2">
      <c r="A25" t="str">
        <f>Ausleihen!A25</f>
        <v>G0007</v>
      </c>
      <c r="B25">
        <f>Ausleihen!B25</f>
        <v>1001</v>
      </c>
      <c r="C25" s="2">
        <f>Ausleihen!C25</f>
        <v>45544</v>
      </c>
      <c r="D25" s="2">
        <f>IF(Ausleihen!D25="","",Ausleihen!D25)</f>
        <v>45854</v>
      </c>
      <c r="E25" t="str">
        <f>INDEX(Geraete!$B$2:$B$36,MATCH($A25,Geraete!$A$2:$A$36,0))</f>
        <v>Laptop</v>
      </c>
      <c r="F25" t="str">
        <f>INDEX(Geraete!$C$2:$C$36,MATCH($A25,Geraete!$A$2:$A$36,0))</f>
        <v>Lenovo ThinkPad</v>
      </c>
      <c r="G25" s="2">
        <f>INDEX(Geraete!$D$2:$D$36,MATCH($A25,Geraete!$A$2:$A$36,0))</f>
        <v>44360</v>
      </c>
      <c r="H25">
        <f>INDEX(Geraete!$E$2:$E$36,MATCH($A25,Geraete!$A$2:$A$36,0))</f>
        <v>869.09</v>
      </c>
      <c r="I25" t="str">
        <f>INDEX(Geraete!$F$2:$F$36,MATCH($A25,Geraete!$A$2:$A$36,0))</f>
        <v>Hamburg</v>
      </c>
    </row>
    <row r="26" spans="1:9" x14ac:dyDescent="0.2">
      <c r="A26" t="str">
        <f>Ausleihen!A26</f>
        <v>G0022</v>
      </c>
      <c r="B26">
        <f>Ausleihen!B26</f>
        <v>1002</v>
      </c>
      <c r="C26" s="2">
        <f>Ausleihen!C26</f>
        <v>45493</v>
      </c>
      <c r="D26" s="2">
        <f>IF(Ausleihen!D26="","",Ausleihen!D26)</f>
        <v>45663</v>
      </c>
      <c r="E26" t="str">
        <f>INDEX(Geraete!$B$2:$B$36,MATCH($A26,Geraete!$A$2:$A$36,0))</f>
        <v>Tablet</v>
      </c>
      <c r="F26" t="str">
        <f>INDEX(Geraete!$C$2:$C$36,MATCH($A26,Geraete!$A$2:$A$36,0))</f>
        <v>iPad</v>
      </c>
      <c r="G26" s="2">
        <f>INDEX(Geraete!$D$2:$D$36,MATCH($A26,Geraete!$A$2:$A$36,0))</f>
        <v>45524</v>
      </c>
      <c r="H26">
        <f>INDEX(Geraete!$E$2:$E$36,MATCH($A26,Geraete!$A$2:$A$36,0))</f>
        <v>1591.98</v>
      </c>
      <c r="I26" t="str">
        <f>INDEX(Geraete!$F$2:$F$36,MATCH($A26,Geraete!$A$2:$A$36,0))</f>
        <v>Hamburg</v>
      </c>
    </row>
    <row r="27" spans="1:9" x14ac:dyDescent="0.2">
      <c r="A27" t="str">
        <f>Ausleihen!A27</f>
        <v>G0013</v>
      </c>
      <c r="B27">
        <f>Ausleihen!B27</f>
        <v>1009</v>
      </c>
      <c r="C27" s="2">
        <f>Ausleihen!C27</f>
        <v>45319</v>
      </c>
      <c r="D27" s="2">
        <f>IF(Ausleihen!D27="","",Ausleihen!D27)</f>
        <v>45714</v>
      </c>
      <c r="E27" t="str">
        <f>INDEX(Geraete!$B$2:$B$36,MATCH($A27,Geraete!$A$2:$A$36,0))</f>
        <v>Drucker</v>
      </c>
      <c r="F27" t="str">
        <f>INDEX(Geraete!$C$2:$C$36,MATCH($A27,Geraete!$A$2:$A$36,0))</f>
        <v>Canon Pixma</v>
      </c>
      <c r="G27" s="2">
        <f>INDEX(Geraete!$D$2:$D$36,MATCH($A27,Geraete!$A$2:$A$36,0))</f>
        <v>44332</v>
      </c>
      <c r="H27">
        <f>INDEX(Geraete!$E$2:$E$36,MATCH($A27,Geraete!$A$2:$A$36,0))</f>
        <v>1898.65</v>
      </c>
      <c r="I27" t="str">
        <f>INDEX(Geraete!$F$2:$F$36,MATCH($A27,Geraete!$A$2:$A$36,0))</f>
        <v>Hamburg</v>
      </c>
    </row>
    <row r="28" spans="1:9" x14ac:dyDescent="0.2">
      <c r="A28" t="str">
        <f>Ausleihen!A28</f>
        <v>G0028</v>
      </c>
      <c r="B28">
        <f>Ausleihen!B28</f>
        <v>1003</v>
      </c>
      <c r="C28" s="2">
        <f>Ausleihen!C28</f>
        <v>45595</v>
      </c>
      <c r="D28" s="2">
        <f>IF(Ausleihen!D28="","",Ausleihen!D28)</f>
        <v>45630</v>
      </c>
      <c r="E28" t="str">
        <f>INDEX(Geraete!$B$2:$B$36,MATCH($A28,Geraete!$A$2:$A$36,0))</f>
        <v>Beamer</v>
      </c>
      <c r="F28" t="str">
        <f>INDEX(Geraete!$C$2:$C$36,MATCH($A28,Geraete!$A$2:$A$36,0))</f>
        <v>Epson EB</v>
      </c>
      <c r="G28" s="2">
        <f>INDEX(Geraete!$D$2:$D$36,MATCH($A28,Geraete!$A$2:$A$36,0))</f>
        <v>44945</v>
      </c>
      <c r="H28">
        <f>INDEX(Geraete!$E$2:$E$36,MATCH($A28,Geraete!$A$2:$A$36,0))</f>
        <v>1246.58</v>
      </c>
      <c r="I28" t="str">
        <f>INDEX(Geraete!$F$2:$F$36,MATCH($A28,Geraete!$A$2:$A$36,0))</f>
        <v>Hamburg</v>
      </c>
    </row>
    <row r="29" spans="1:9" x14ac:dyDescent="0.2">
      <c r="A29" t="str">
        <f>Ausleihen!A29</f>
        <v>G0016</v>
      </c>
      <c r="B29">
        <f>Ausleihen!B29</f>
        <v>1002</v>
      </c>
      <c r="C29" s="2">
        <f>Ausleihen!C29</f>
        <v>45799</v>
      </c>
      <c r="D29" s="2">
        <f>IF(Ausleihen!D29="","",Ausleihen!D29)</f>
        <v>45808</v>
      </c>
      <c r="E29" t="str">
        <f>INDEX(Geraete!$B$2:$B$36,MATCH($A29,Geraete!$A$2:$A$36,0))</f>
        <v>Drucker</v>
      </c>
      <c r="F29" t="str">
        <f>INDEX(Geraete!$C$2:$C$36,MATCH($A29,Geraete!$A$2:$A$36,0))</f>
        <v>Canon Pixma</v>
      </c>
      <c r="G29" s="2">
        <f>INDEX(Geraete!$D$2:$D$36,MATCH($A29,Geraete!$A$2:$A$36,0))</f>
        <v>45015</v>
      </c>
      <c r="H29">
        <f>INDEX(Geraete!$E$2:$E$36,MATCH($A29,Geraete!$A$2:$A$36,0))</f>
        <v>1501.06</v>
      </c>
      <c r="I29" t="str">
        <f>INDEX(Geraete!$F$2:$F$36,MATCH($A29,Geraete!$A$2:$A$36,0))</f>
        <v>Berlin</v>
      </c>
    </row>
    <row r="30" spans="1:9" x14ac:dyDescent="0.2">
      <c r="A30" t="str">
        <f>Ausleihen!A30</f>
        <v>G0007</v>
      </c>
      <c r="B30">
        <f>Ausleihen!B30</f>
        <v>1001</v>
      </c>
      <c r="C30" s="2">
        <f>Ausleihen!C30</f>
        <v>45880</v>
      </c>
      <c r="D30" s="2" t="str">
        <f>IF(Ausleihen!D30="","",Ausleihen!D30)</f>
        <v/>
      </c>
      <c r="E30" t="str">
        <f>INDEX(Geraete!$B$2:$B$36,MATCH($A30,Geraete!$A$2:$A$36,0))</f>
        <v>Laptop</v>
      </c>
      <c r="F30" t="str">
        <f>INDEX(Geraete!$C$2:$C$36,MATCH($A30,Geraete!$A$2:$A$36,0))</f>
        <v>Lenovo ThinkPad</v>
      </c>
      <c r="G30" s="2">
        <f>INDEX(Geraete!$D$2:$D$36,MATCH($A30,Geraete!$A$2:$A$36,0))</f>
        <v>44360</v>
      </c>
      <c r="H30">
        <f>INDEX(Geraete!$E$2:$E$36,MATCH($A30,Geraete!$A$2:$A$36,0))</f>
        <v>869.09</v>
      </c>
      <c r="I30" t="str">
        <f>INDEX(Geraete!$F$2:$F$36,MATCH($A30,Geraete!$A$2:$A$36,0))</f>
        <v>Hamburg</v>
      </c>
    </row>
    <row r="31" spans="1:9" x14ac:dyDescent="0.2">
      <c r="A31" t="str">
        <f>Ausleihen!A31</f>
        <v>G0035</v>
      </c>
      <c r="B31">
        <f>Ausleihen!B31</f>
        <v>1001</v>
      </c>
      <c r="C31" s="2">
        <f>Ausleihen!C31</f>
        <v>45297</v>
      </c>
      <c r="D31" s="2" t="str">
        <f>IF(Ausleihen!D31="","",Ausleihen!D31)</f>
        <v/>
      </c>
      <c r="E31" t="str">
        <f>INDEX(Geraete!$B$2:$B$36,MATCH($A31,Geraete!$A$2:$A$36,0))</f>
        <v>Beamer</v>
      </c>
      <c r="F31" t="str">
        <f>INDEX(Geraete!$C$2:$C$36,MATCH($A31,Geraete!$A$2:$A$36,0))</f>
        <v>BenQ MW550</v>
      </c>
      <c r="G31" s="2">
        <f>INDEX(Geraete!$D$2:$D$36,MATCH($A31,Geraete!$A$2:$A$36,0))</f>
        <v>45294</v>
      </c>
      <c r="H31">
        <f>INDEX(Geraete!$E$2:$E$36,MATCH($A31,Geraete!$A$2:$A$36,0))</f>
        <v>644.54</v>
      </c>
      <c r="I31" t="str">
        <f>INDEX(Geraete!$F$2:$F$36,MATCH($A31,Geraete!$A$2:$A$36,0))</f>
        <v>Berlin</v>
      </c>
    </row>
    <row r="32" spans="1:9" x14ac:dyDescent="0.2">
      <c r="A32" t="str">
        <f>Ausleihen!A32</f>
        <v>G0016</v>
      </c>
      <c r="B32">
        <f>Ausleihen!B32</f>
        <v>1003</v>
      </c>
      <c r="C32" s="2">
        <f>Ausleihen!C32</f>
        <v>45330</v>
      </c>
      <c r="D32" s="2">
        <f>IF(Ausleihen!D32="","",Ausleihen!D32)</f>
        <v>45817</v>
      </c>
      <c r="E32" t="str">
        <f>INDEX(Geraete!$B$2:$B$36,MATCH($A32,Geraete!$A$2:$A$36,0))</f>
        <v>Drucker</v>
      </c>
      <c r="F32" t="str">
        <f>INDEX(Geraete!$C$2:$C$36,MATCH($A32,Geraete!$A$2:$A$36,0))</f>
        <v>Canon Pixma</v>
      </c>
      <c r="G32" s="2">
        <f>INDEX(Geraete!$D$2:$D$36,MATCH($A32,Geraete!$A$2:$A$36,0))</f>
        <v>45015</v>
      </c>
      <c r="H32">
        <f>INDEX(Geraete!$E$2:$E$36,MATCH($A32,Geraete!$A$2:$A$36,0))</f>
        <v>1501.06</v>
      </c>
      <c r="I32" t="str">
        <f>INDEX(Geraete!$F$2:$F$36,MATCH($A32,Geraete!$A$2:$A$36,0))</f>
        <v>Berlin</v>
      </c>
    </row>
    <row r="33" spans="1:9" x14ac:dyDescent="0.2">
      <c r="A33" t="str">
        <f>Ausleihen!A33</f>
        <v>G0031</v>
      </c>
      <c r="B33">
        <f>Ausleihen!B33</f>
        <v>1004</v>
      </c>
      <c r="C33" s="2">
        <f>Ausleihen!C33</f>
        <v>45336</v>
      </c>
      <c r="D33" s="2" t="str">
        <f>IF(Ausleihen!D33="","",Ausleihen!D33)</f>
        <v/>
      </c>
      <c r="E33" t="str">
        <f>INDEX(Geraete!$B$2:$B$36,MATCH($A33,Geraete!$A$2:$A$36,0))</f>
        <v>Laptop</v>
      </c>
      <c r="F33" t="str">
        <f>INDEX(Geraete!$C$2:$C$36,MATCH($A33,Geraete!$A$2:$A$36,0))</f>
        <v>HP EliteBook</v>
      </c>
      <c r="G33" s="2">
        <f>INDEX(Geraete!$D$2:$D$36,MATCH($A33,Geraete!$A$2:$A$36,0))</f>
        <v>45775</v>
      </c>
      <c r="H33">
        <f>INDEX(Geraete!$E$2:$E$36,MATCH($A33,Geraete!$A$2:$A$36,0))</f>
        <v>1095.6199999999999</v>
      </c>
      <c r="I33" t="str">
        <f>INDEX(Geraete!$F$2:$F$36,MATCH($A33,Geraete!$A$2:$A$36,0))</f>
        <v>München</v>
      </c>
    </row>
    <row r="34" spans="1:9" x14ac:dyDescent="0.2">
      <c r="A34" t="str">
        <f>Ausleihen!A34</f>
        <v>G0004</v>
      </c>
      <c r="B34">
        <f>Ausleihen!B34</f>
        <v>1003</v>
      </c>
      <c r="C34" s="2">
        <f>Ausleihen!C34</f>
        <v>45827</v>
      </c>
      <c r="D34" s="2">
        <f>IF(Ausleihen!D34="","",Ausleihen!D34)</f>
        <v>45908</v>
      </c>
      <c r="E34" t="str">
        <f>INDEX(Geraete!$B$2:$B$36,MATCH($A34,Geraete!$A$2:$A$36,0))</f>
        <v>Laptop</v>
      </c>
      <c r="F34" t="str">
        <f>INDEX(Geraete!$C$2:$C$36,MATCH($A34,Geraete!$A$2:$A$36,0))</f>
        <v>Dell XPS</v>
      </c>
      <c r="G34" s="2">
        <f>INDEX(Geraete!$D$2:$D$36,MATCH($A34,Geraete!$A$2:$A$36,0))</f>
        <v>45782</v>
      </c>
      <c r="H34">
        <f>INDEX(Geraete!$E$2:$E$36,MATCH($A34,Geraete!$A$2:$A$36,0))</f>
        <v>1007.88</v>
      </c>
      <c r="I34" t="str">
        <f>INDEX(Geraete!$F$2:$F$36,MATCH($A34,Geraete!$A$2:$A$36,0))</f>
        <v>München</v>
      </c>
    </row>
    <row r="35" spans="1:9" x14ac:dyDescent="0.2">
      <c r="A35" t="str">
        <f>Ausleihen!A35</f>
        <v>G0025</v>
      </c>
      <c r="B35">
        <f>Ausleihen!B35</f>
        <v>1005</v>
      </c>
      <c r="C35" s="2">
        <f>Ausleihen!C35</f>
        <v>45675</v>
      </c>
      <c r="D35" s="2" t="str">
        <f>IF(Ausleihen!D35="","",Ausleihen!D35)</f>
        <v/>
      </c>
      <c r="E35" t="str">
        <f>INDEX(Geraete!$B$2:$B$36,MATCH($A35,Geraete!$A$2:$A$36,0))</f>
        <v>Beamer</v>
      </c>
      <c r="F35" t="str">
        <f>INDEX(Geraete!$C$2:$C$36,MATCH($A35,Geraete!$A$2:$A$36,0))</f>
        <v>Epson EB</v>
      </c>
      <c r="G35" s="2">
        <f>INDEX(Geraete!$D$2:$D$36,MATCH($A35,Geraete!$A$2:$A$36,0))</f>
        <v>45266</v>
      </c>
      <c r="H35">
        <f>INDEX(Geraete!$E$2:$E$36,MATCH($A35,Geraete!$A$2:$A$36,0))</f>
        <v>545.46</v>
      </c>
      <c r="I35" t="str">
        <f>INDEX(Geraete!$F$2:$F$36,MATCH($A35,Geraete!$A$2:$A$36,0))</f>
        <v>Berlin</v>
      </c>
    </row>
    <row r="36" spans="1:9" x14ac:dyDescent="0.2">
      <c r="A36" t="str">
        <f>Ausleihen!A36</f>
        <v>G0030</v>
      </c>
      <c r="B36">
        <f>Ausleihen!B36</f>
        <v>1005</v>
      </c>
      <c r="C36" s="2">
        <f>Ausleihen!C36</f>
        <v>45261</v>
      </c>
      <c r="D36" s="2">
        <f>IF(Ausleihen!D36="","",Ausleihen!D36)</f>
        <v>45559</v>
      </c>
      <c r="E36" t="str">
        <f>INDEX(Geraete!$B$2:$B$36,MATCH($A36,Geraete!$A$2:$A$36,0))</f>
        <v>Beamer</v>
      </c>
      <c r="F36" t="str">
        <f>INDEX(Geraete!$C$2:$C$36,MATCH($A36,Geraete!$A$2:$A$36,0))</f>
        <v>Epson EB</v>
      </c>
      <c r="G36" s="2">
        <f>INDEX(Geraete!$D$2:$D$36,MATCH($A36,Geraete!$A$2:$A$36,0))</f>
        <v>44647</v>
      </c>
      <c r="H36">
        <f>INDEX(Geraete!$E$2:$E$36,MATCH($A36,Geraete!$A$2:$A$36,0))</f>
        <v>1629.76</v>
      </c>
      <c r="I36" t="str">
        <f>INDEX(Geraete!$F$2:$F$36,MATCH($A36,Geraete!$A$2:$A$36,0))</f>
        <v>München</v>
      </c>
    </row>
    <row r="37" spans="1:9" x14ac:dyDescent="0.2">
      <c r="A37" t="str">
        <f>Ausleihen!A37</f>
        <v>G0032</v>
      </c>
      <c r="B37">
        <f>Ausleihen!B37</f>
        <v>1003</v>
      </c>
      <c r="C37" s="2">
        <f>Ausleihen!C37</f>
        <v>45508</v>
      </c>
      <c r="D37" s="2">
        <f>IF(Ausleihen!D37="","",Ausleihen!D37)</f>
        <v>45871</v>
      </c>
      <c r="E37" t="str">
        <f>INDEX(Geraete!$B$2:$B$36,MATCH($A37,Geraete!$A$2:$A$36,0))</f>
        <v>Laptop</v>
      </c>
      <c r="F37" t="str">
        <f>INDEX(Geraete!$C$2:$C$36,MATCH($A37,Geraete!$A$2:$A$36,0))</f>
        <v>Lenovo ThinkPad</v>
      </c>
      <c r="G37" s="2">
        <f>INDEX(Geraete!$D$2:$D$36,MATCH($A37,Geraete!$A$2:$A$36,0))</f>
        <v>44876</v>
      </c>
      <c r="H37">
        <f>INDEX(Geraete!$E$2:$E$36,MATCH($A37,Geraete!$A$2:$A$36,0))</f>
        <v>1801.36</v>
      </c>
      <c r="I37" t="str">
        <f>INDEX(Geraete!$F$2:$F$36,MATCH($A37,Geraete!$A$2:$A$36,0))</f>
        <v>München</v>
      </c>
    </row>
    <row r="38" spans="1:9" x14ac:dyDescent="0.2">
      <c r="A38" t="str">
        <f>Ausleihen!A38</f>
        <v>G0014</v>
      </c>
      <c r="B38">
        <f>Ausleihen!B38</f>
        <v>1001</v>
      </c>
      <c r="C38" s="2">
        <f>Ausleihen!C38</f>
        <v>45622</v>
      </c>
      <c r="D38" s="2">
        <f>IF(Ausleihen!D38="","",Ausleihen!D38)</f>
        <v>45719</v>
      </c>
      <c r="E38" t="str">
        <f>INDEX(Geraete!$B$2:$B$36,MATCH($A38,Geraete!$A$2:$A$36,0))</f>
        <v>Laptop</v>
      </c>
      <c r="F38" t="str">
        <f>INDEX(Geraete!$C$2:$C$36,MATCH($A38,Geraete!$A$2:$A$36,0))</f>
        <v>Lenovo ThinkPad</v>
      </c>
      <c r="G38" s="2">
        <f>INDEX(Geraete!$D$2:$D$36,MATCH($A38,Geraete!$A$2:$A$36,0))</f>
        <v>44258</v>
      </c>
      <c r="H38">
        <f>INDEX(Geraete!$E$2:$E$36,MATCH($A38,Geraete!$A$2:$A$36,0))</f>
        <v>1415.97</v>
      </c>
      <c r="I38" t="str">
        <f>INDEX(Geraete!$F$2:$F$36,MATCH($A38,Geraete!$A$2:$A$36,0))</f>
        <v>Hamburg</v>
      </c>
    </row>
    <row r="39" spans="1:9" x14ac:dyDescent="0.2">
      <c r="A39" t="str">
        <f>Ausleihen!A39</f>
        <v>G0035</v>
      </c>
      <c r="B39">
        <f>Ausleihen!B39</f>
        <v>1001</v>
      </c>
      <c r="C39" s="2">
        <f>Ausleihen!C39</f>
        <v>45641</v>
      </c>
      <c r="D39" s="2" t="str">
        <f>IF(Ausleihen!D39="","",Ausleihen!D39)</f>
        <v/>
      </c>
      <c r="E39" t="str">
        <f>INDEX(Geraete!$B$2:$B$36,MATCH($A39,Geraete!$A$2:$A$36,0))</f>
        <v>Beamer</v>
      </c>
      <c r="F39" t="str">
        <f>INDEX(Geraete!$C$2:$C$36,MATCH($A39,Geraete!$A$2:$A$36,0))</f>
        <v>BenQ MW550</v>
      </c>
      <c r="G39" s="2">
        <f>INDEX(Geraete!$D$2:$D$36,MATCH($A39,Geraete!$A$2:$A$36,0))</f>
        <v>45294</v>
      </c>
      <c r="H39">
        <f>INDEX(Geraete!$E$2:$E$36,MATCH($A39,Geraete!$A$2:$A$36,0))</f>
        <v>644.54</v>
      </c>
      <c r="I39" t="str">
        <f>INDEX(Geraete!$F$2:$F$36,MATCH($A39,Geraete!$A$2:$A$36,0))</f>
        <v>Berlin</v>
      </c>
    </row>
    <row r="40" spans="1:9" x14ac:dyDescent="0.2">
      <c r="A40" t="str">
        <f>Ausleihen!A40</f>
        <v>G0004</v>
      </c>
      <c r="B40">
        <f>Ausleihen!B40</f>
        <v>1001</v>
      </c>
      <c r="C40" s="2">
        <f>Ausleihen!C40</f>
        <v>45880</v>
      </c>
      <c r="D40" s="2">
        <f>IF(Ausleihen!D40="","",Ausleihen!D40)</f>
        <v>45881</v>
      </c>
      <c r="E40" t="str">
        <f>INDEX(Geraete!$B$2:$B$36,MATCH($A40,Geraete!$A$2:$A$36,0))</f>
        <v>Laptop</v>
      </c>
      <c r="F40" t="str">
        <f>INDEX(Geraete!$C$2:$C$36,MATCH($A40,Geraete!$A$2:$A$36,0))</f>
        <v>Dell XPS</v>
      </c>
      <c r="G40" s="2">
        <f>INDEX(Geraete!$D$2:$D$36,MATCH($A40,Geraete!$A$2:$A$36,0))</f>
        <v>45782</v>
      </c>
      <c r="H40">
        <f>INDEX(Geraete!$E$2:$E$36,MATCH($A40,Geraete!$A$2:$A$36,0))</f>
        <v>1007.88</v>
      </c>
      <c r="I40" t="str">
        <f>INDEX(Geraete!$F$2:$F$36,MATCH($A40,Geraete!$A$2:$A$36,0))</f>
        <v>München</v>
      </c>
    </row>
    <row r="41" spans="1:9" x14ac:dyDescent="0.2">
      <c r="A41" t="str">
        <f>Ausleihen!A41</f>
        <v>G0033</v>
      </c>
      <c r="B41">
        <f>Ausleihen!B41</f>
        <v>1009</v>
      </c>
      <c r="C41" s="2">
        <f>Ausleihen!C41</f>
        <v>45740</v>
      </c>
      <c r="D41" s="2">
        <f>IF(Ausleihen!D41="","",Ausleihen!D41)</f>
        <v>45784</v>
      </c>
      <c r="E41" t="str">
        <f>INDEX(Geraete!$B$2:$B$36,MATCH($A41,Geraete!$A$2:$A$36,0))</f>
        <v>Beamer</v>
      </c>
      <c r="F41" t="str">
        <f>INDEX(Geraete!$C$2:$C$36,MATCH($A41,Geraete!$A$2:$A$36,0))</f>
        <v>BenQ MW550</v>
      </c>
      <c r="G41" s="2">
        <f>INDEX(Geraete!$D$2:$D$36,MATCH($A41,Geraete!$A$2:$A$36,0))</f>
        <v>44623</v>
      </c>
      <c r="H41">
        <f>INDEX(Geraete!$E$2:$E$36,MATCH($A41,Geraete!$A$2:$A$36,0))</f>
        <v>1212.29</v>
      </c>
      <c r="I41" t="str">
        <f>INDEX(Geraete!$F$2:$F$36,MATCH($A41,Geraete!$A$2:$A$36,0))</f>
        <v>Berlin</v>
      </c>
    </row>
    <row r="42" spans="1:9" x14ac:dyDescent="0.2">
      <c r="A42" t="str">
        <f>Ausleihen!A42</f>
        <v>G0033</v>
      </c>
      <c r="B42">
        <f>Ausleihen!B42</f>
        <v>1002</v>
      </c>
      <c r="C42" s="2">
        <f>Ausleihen!C42</f>
        <v>45741</v>
      </c>
      <c r="D42" s="2" t="str">
        <f>IF(Ausleihen!D42="","",Ausleihen!D42)</f>
        <v/>
      </c>
      <c r="E42" t="str">
        <f>INDEX(Geraete!$B$2:$B$36,MATCH($A42,Geraete!$A$2:$A$36,0))</f>
        <v>Beamer</v>
      </c>
      <c r="F42" t="str">
        <f>INDEX(Geraete!$C$2:$C$36,MATCH($A42,Geraete!$A$2:$A$36,0))</f>
        <v>BenQ MW550</v>
      </c>
      <c r="G42" s="2">
        <f>INDEX(Geraete!$D$2:$D$36,MATCH($A42,Geraete!$A$2:$A$36,0))</f>
        <v>44623</v>
      </c>
      <c r="H42">
        <f>INDEX(Geraete!$E$2:$E$36,MATCH($A42,Geraete!$A$2:$A$36,0))</f>
        <v>1212.29</v>
      </c>
      <c r="I42" t="str">
        <f>INDEX(Geraete!$F$2:$F$36,MATCH($A42,Geraete!$A$2:$A$36,0))</f>
        <v>Berlin</v>
      </c>
    </row>
    <row r="43" spans="1:9" x14ac:dyDescent="0.2">
      <c r="A43" t="str">
        <f>Ausleihen!A43</f>
        <v>G0005</v>
      </c>
      <c r="B43">
        <f>Ausleihen!B43</f>
        <v>1010</v>
      </c>
      <c r="C43" s="2">
        <f>Ausleihen!C43</f>
        <v>45899</v>
      </c>
      <c r="D43" s="2">
        <f>IF(Ausleihen!D43="","",Ausleihen!D43)</f>
        <v>45925</v>
      </c>
      <c r="E43" t="str">
        <f>INDEX(Geraete!$B$2:$B$36,MATCH($A43,Geraete!$A$2:$A$36,0))</f>
        <v>Drucker</v>
      </c>
      <c r="F43" t="str">
        <f>INDEX(Geraete!$C$2:$C$36,MATCH($A43,Geraete!$A$2:$A$36,0))</f>
        <v>Canon Pixma</v>
      </c>
      <c r="G43" s="2">
        <f>INDEX(Geraete!$D$2:$D$36,MATCH($A43,Geraete!$A$2:$A$36,0))</f>
        <v>44503</v>
      </c>
      <c r="H43">
        <f>INDEX(Geraete!$E$2:$E$36,MATCH($A43,Geraete!$A$2:$A$36,0))</f>
        <v>823.23</v>
      </c>
      <c r="I43" t="str">
        <f>INDEX(Geraete!$F$2:$F$36,MATCH($A43,Geraete!$A$2:$A$36,0))</f>
        <v>Berlin</v>
      </c>
    </row>
    <row r="44" spans="1:9" x14ac:dyDescent="0.2">
      <c r="A44" t="str">
        <f>Ausleihen!A44</f>
        <v>G0016</v>
      </c>
      <c r="B44">
        <f>Ausleihen!B44</f>
        <v>1007</v>
      </c>
      <c r="C44" s="2">
        <f>Ausleihen!C44</f>
        <v>45795</v>
      </c>
      <c r="D44" s="2">
        <f>IF(Ausleihen!D44="","",Ausleihen!D44)</f>
        <v>45846</v>
      </c>
      <c r="E44" t="str">
        <f>INDEX(Geraete!$B$2:$B$36,MATCH($A44,Geraete!$A$2:$A$36,0))</f>
        <v>Drucker</v>
      </c>
      <c r="F44" t="str">
        <f>INDEX(Geraete!$C$2:$C$36,MATCH($A44,Geraete!$A$2:$A$36,0))</f>
        <v>Canon Pixma</v>
      </c>
      <c r="G44" s="2">
        <f>INDEX(Geraete!$D$2:$D$36,MATCH($A44,Geraete!$A$2:$A$36,0))</f>
        <v>45015</v>
      </c>
      <c r="H44">
        <f>INDEX(Geraete!$E$2:$E$36,MATCH($A44,Geraete!$A$2:$A$36,0))</f>
        <v>1501.06</v>
      </c>
      <c r="I44" t="str">
        <f>INDEX(Geraete!$F$2:$F$36,MATCH($A44,Geraete!$A$2:$A$36,0))</f>
        <v>Berlin</v>
      </c>
    </row>
    <row r="45" spans="1:9" x14ac:dyDescent="0.2">
      <c r="A45" t="str">
        <f>Ausleihen!A45</f>
        <v>G0016</v>
      </c>
      <c r="B45">
        <f>Ausleihen!B45</f>
        <v>1010</v>
      </c>
      <c r="C45" s="2">
        <f>Ausleihen!C45</f>
        <v>45808</v>
      </c>
      <c r="D45" s="2">
        <f>IF(Ausleihen!D45="","",Ausleihen!D45)</f>
        <v>45932</v>
      </c>
      <c r="E45" t="str">
        <f>INDEX(Geraete!$B$2:$B$36,MATCH($A45,Geraete!$A$2:$A$36,0))</f>
        <v>Drucker</v>
      </c>
      <c r="F45" t="str">
        <f>INDEX(Geraete!$C$2:$C$36,MATCH($A45,Geraete!$A$2:$A$36,0))</f>
        <v>Canon Pixma</v>
      </c>
      <c r="G45" s="2">
        <f>INDEX(Geraete!$D$2:$D$36,MATCH($A45,Geraete!$A$2:$A$36,0))</f>
        <v>45015</v>
      </c>
      <c r="H45">
        <f>INDEX(Geraete!$E$2:$E$36,MATCH($A45,Geraete!$A$2:$A$36,0))</f>
        <v>1501.06</v>
      </c>
      <c r="I45" t="str">
        <f>INDEX(Geraete!$F$2:$F$36,MATCH($A45,Geraete!$A$2:$A$36,0))</f>
        <v>Berlin</v>
      </c>
    </row>
    <row r="46" spans="1:9" x14ac:dyDescent="0.2">
      <c r="A46" t="str">
        <f>Ausleihen!A46</f>
        <v>G0006</v>
      </c>
      <c r="B46">
        <f>Ausleihen!B46</f>
        <v>1007</v>
      </c>
      <c r="C46" s="2">
        <f>Ausleihen!C46</f>
        <v>45476</v>
      </c>
      <c r="D46" s="2" t="str">
        <f>IF(Ausleihen!D46="","",Ausleihen!D46)</f>
        <v/>
      </c>
      <c r="E46" t="str">
        <f>INDEX(Geraete!$B$2:$B$36,MATCH($A46,Geraete!$A$2:$A$36,0))</f>
        <v>Smartphone</v>
      </c>
      <c r="F46" t="str">
        <f>INDEX(Geraete!$C$2:$C$36,MATCH($A46,Geraete!$A$2:$A$36,0))</f>
        <v>Samsung S21</v>
      </c>
      <c r="G46" s="2">
        <f>INDEX(Geraete!$D$2:$D$36,MATCH($A46,Geraete!$A$2:$A$36,0))</f>
        <v>45292</v>
      </c>
      <c r="H46">
        <f>INDEX(Geraete!$E$2:$E$36,MATCH($A46,Geraete!$A$2:$A$36,0))</f>
        <v>1257.96</v>
      </c>
      <c r="I46" t="str">
        <f>INDEX(Geraete!$F$2:$F$36,MATCH($A46,Geraete!$A$2:$A$36,0))</f>
        <v>München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6"/>
  <sheetViews>
    <sheetView workbookViewId="0">
      <selection activeCell="H50" sqref="H50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2" customWidth="1"/>
    <col min="4" max="4" width="13" customWidth="1"/>
    <col min="5" max="5" width="12" customWidth="1"/>
    <col min="6" max="6" width="18" customWidth="1"/>
    <col min="7" max="7" width="12" customWidth="1"/>
    <col min="8" max="8" width="17" customWidth="1"/>
    <col min="9" max="9" width="16" customWidth="1"/>
    <col min="10" max="10" width="36" customWidth="1"/>
    <col min="11" max="11" width="12" customWidth="1"/>
    <col min="12" max="12" width="22" customWidth="1"/>
  </cols>
  <sheetData>
    <row r="1" spans="1:12" x14ac:dyDescent="0.2">
      <c r="A1" s="1" t="s">
        <v>0</v>
      </c>
      <c r="B1" s="1" t="s">
        <v>65</v>
      </c>
      <c r="C1" s="1" t="s">
        <v>84</v>
      </c>
      <c r="D1" s="1" t="s">
        <v>85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86</v>
      </c>
      <c r="J1" s="1" t="s">
        <v>66</v>
      </c>
      <c r="K1" s="1" t="s">
        <v>67</v>
      </c>
      <c r="L1" s="1" t="s">
        <v>87</v>
      </c>
    </row>
    <row r="2" spans="1:12" x14ac:dyDescent="0.2">
      <c r="A2" t="str">
        <f>Ausleihen!A2</f>
        <v>G0035</v>
      </c>
      <c r="B2">
        <f>Ausleihen!B2</f>
        <v>1009</v>
      </c>
      <c r="C2" s="2">
        <f>Ausleihen!C2</f>
        <v>45421</v>
      </c>
      <c r="D2" s="2" t="str">
        <f>IF(Ausleihen!D2="","",Ausleihen!D2)</f>
        <v/>
      </c>
      <c r="E2" t="str">
        <f>INDEX(Geraete!$B$2:$B$36,MATCH($A2,Geraete!$A$2:$A$36,0))</f>
        <v>Beamer</v>
      </c>
      <c r="F2" t="str">
        <f>INDEX(Geraete!$C$2:$C$36,MATCH($A2,Geraete!$A$2:$A$36,0))</f>
        <v>BenQ MW550</v>
      </c>
      <c r="G2" s="2">
        <f>INDEX(Geraete!$D$2:$D$36,MATCH($A2,Geraete!$A$2:$A$36,0))</f>
        <v>45294</v>
      </c>
      <c r="H2">
        <f>INDEX(Geraete!$E$2:$E$36,MATCH($A2,Geraete!$A$2:$A$36,0))</f>
        <v>644.54</v>
      </c>
      <c r="I2" t="str">
        <f>INDEX(Geraete!$F$2:$F$36,MATCH($A2,Geraete!$A$2:$A$36,0))</f>
        <v>Berlin</v>
      </c>
      <c r="J2" t="str">
        <f>INDEX(Mitarbeiter!$B$2:$B$13,MATCH($B2,Mitarbeiter!$A$2:$A$13,0))</f>
        <v>Univ.Prof. Heimo Karge</v>
      </c>
      <c r="K2" t="str">
        <f>INDEX(Mitarbeiter!$C$2:$C$13,MATCH($B2,Mitarbeiter!$A$2:$A$13,0))</f>
        <v>Marketing</v>
      </c>
      <c r="L2" t="str">
        <f>INDEX(Mitarbeiter!$D$2:$D$13,MATCH($B2,Mitarbeiter!$A$2:$A$13,0))</f>
        <v>Hamburg</v>
      </c>
    </row>
    <row r="3" spans="1:12" x14ac:dyDescent="0.2">
      <c r="A3" t="str">
        <f>Ausleihen!A3</f>
        <v>G0021</v>
      </c>
      <c r="B3">
        <f>Ausleihen!B3</f>
        <v>1008</v>
      </c>
      <c r="C3" s="2">
        <f>Ausleihen!C3</f>
        <v>45930</v>
      </c>
      <c r="D3" s="2">
        <f>IF(Ausleihen!D3="","",Ausleihen!D3)</f>
        <v>45935</v>
      </c>
      <c r="E3" t="str">
        <f>INDEX(Geraete!$B$2:$B$36,MATCH($A3,Geraete!$A$2:$A$36,0))</f>
        <v>Monitor</v>
      </c>
      <c r="F3" t="str">
        <f>INDEX(Geraete!$C$2:$C$36,MATCH($A3,Geraete!$A$2:$A$36,0))</f>
        <v>Samsung Curved</v>
      </c>
      <c r="G3" s="2">
        <f>INDEX(Geraete!$D$2:$D$36,MATCH($A3,Geraete!$A$2:$A$36,0))</f>
        <v>44979</v>
      </c>
      <c r="H3">
        <f>INDEX(Geraete!$E$2:$E$36,MATCH($A3,Geraete!$A$2:$A$36,0))</f>
        <v>1134.1600000000001</v>
      </c>
      <c r="I3" t="str">
        <f>INDEX(Geraete!$F$2:$F$36,MATCH($A3,Geraete!$A$2:$A$36,0))</f>
        <v>München</v>
      </c>
      <c r="J3" t="str">
        <f>INDEX(Mitarbeiter!$B$2:$B$13,MATCH($B3,Mitarbeiter!$A$2:$A$13,0))</f>
        <v>Dipl.-Ing. Klaus-Werner Holsten B.Sc.</v>
      </c>
      <c r="K3" t="str">
        <f>INDEX(Mitarbeiter!$C$2:$C$13,MATCH($B3,Mitarbeiter!$A$2:$A$13,0))</f>
        <v>IT</v>
      </c>
      <c r="L3" t="str">
        <f>INDEX(Mitarbeiter!$D$2:$D$13,MATCH($B3,Mitarbeiter!$A$2:$A$13,0))</f>
        <v>Hamburg</v>
      </c>
    </row>
    <row r="4" spans="1:12" x14ac:dyDescent="0.2">
      <c r="A4" t="str">
        <f>Ausleihen!A4</f>
        <v>G0024</v>
      </c>
      <c r="B4">
        <f>Ausleihen!B4</f>
        <v>1005</v>
      </c>
      <c r="C4" s="2">
        <f>Ausleihen!C4</f>
        <v>45743</v>
      </c>
      <c r="D4" s="2">
        <f>IF(Ausleihen!D4="","",Ausleihen!D4)</f>
        <v>45868</v>
      </c>
      <c r="E4" t="str">
        <f>INDEX(Geraete!$B$2:$B$36,MATCH($A4,Geraete!$A$2:$A$36,0))</f>
        <v>Monitor</v>
      </c>
      <c r="F4" t="str">
        <f>INDEX(Geraete!$C$2:$C$36,MATCH($A4,Geraete!$A$2:$A$36,0))</f>
        <v>Dell UltraSharp</v>
      </c>
      <c r="G4" s="2">
        <f>INDEX(Geraete!$D$2:$D$36,MATCH($A4,Geraete!$A$2:$A$36,0))</f>
        <v>44621</v>
      </c>
      <c r="H4">
        <f>INDEX(Geraete!$E$2:$E$36,MATCH($A4,Geraete!$A$2:$A$36,0))</f>
        <v>750.91</v>
      </c>
      <c r="I4" t="str">
        <f>INDEX(Geraete!$F$2:$F$36,MATCH($A4,Geraete!$A$2:$A$36,0))</f>
        <v>Berlin</v>
      </c>
      <c r="J4" t="str">
        <f>INDEX(Mitarbeiter!$B$2:$B$13,MATCH($B4,Mitarbeiter!$A$2:$A$13,0))</f>
        <v>Alexandre Davids</v>
      </c>
      <c r="K4" t="str">
        <f>INDEX(Mitarbeiter!$C$2:$C$13,MATCH($B4,Mitarbeiter!$A$2:$A$13,0))</f>
        <v>Vertrieb</v>
      </c>
      <c r="L4" t="str">
        <f>INDEX(Mitarbeiter!$D$2:$D$13,MATCH($B4,Mitarbeiter!$A$2:$A$13,0))</f>
        <v>Berlin</v>
      </c>
    </row>
    <row r="5" spans="1:12" x14ac:dyDescent="0.2">
      <c r="A5" t="str">
        <f>Ausleihen!A5</f>
        <v>G0016</v>
      </c>
      <c r="B5">
        <f>Ausleihen!B5</f>
        <v>1010</v>
      </c>
      <c r="C5" s="2">
        <f>Ausleihen!C5</f>
        <v>45866</v>
      </c>
      <c r="D5" s="2" t="str">
        <f>IF(Ausleihen!D5="","",Ausleihen!D5)</f>
        <v/>
      </c>
      <c r="E5" t="str">
        <f>INDEX(Geraete!$B$2:$B$36,MATCH($A5,Geraete!$A$2:$A$36,0))</f>
        <v>Drucker</v>
      </c>
      <c r="F5" t="str">
        <f>INDEX(Geraete!$C$2:$C$36,MATCH($A5,Geraete!$A$2:$A$36,0))</f>
        <v>Canon Pixma</v>
      </c>
      <c r="G5" s="2">
        <f>INDEX(Geraete!$D$2:$D$36,MATCH($A5,Geraete!$A$2:$A$36,0))</f>
        <v>45015</v>
      </c>
      <c r="H5">
        <f>INDEX(Geraete!$E$2:$E$36,MATCH($A5,Geraete!$A$2:$A$36,0))</f>
        <v>1501.06</v>
      </c>
      <c r="I5" t="str">
        <f>INDEX(Geraete!$F$2:$F$36,MATCH($A5,Geraete!$A$2:$A$36,0))</f>
        <v>Berlin</v>
      </c>
      <c r="J5" t="str">
        <f>INDEX(Mitarbeiter!$B$2:$B$13,MATCH($B5,Mitarbeiter!$A$2:$A$13,0))</f>
        <v>Carolin Hande</v>
      </c>
      <c r="K5" t="str">
        <f>INDEX(Mitarbeiter!$C$2:$C$13,MATCH($B5,Mitarbeiter!$A$2:$A$13,0))</f>
        <v>IT</v>
      </c>
      <c r="L5" t="str">
        <f>INDEX(Mitarbeiter!$D$2:$D$13,MATCH($B5,Mitarbeiter!$A$2:$A$13,0))</f>
        <v>Hamburg</v>
      </c>
    </row>
    <row r="6" spans="1:12" x14ac:dyDescent="0.2">
      <c r="A6" t="str">
        <f>Ausleihen!A6</f>
        <v>G0006</v>
      </c>
      <c r="B6">
        <f>Ausleihen!B6</f>
        <v>1012</v>
      </c>
      <c r="C6" s="2">
        <f>Ausleihen!C6</f>
        <v>45808</v>
      </c>
      <c r="D6" s="2">
        <f>IF(Ausleihen!D6="","",Ausleihen!D6)</f>
        <v>45818</v>
      </c>
      <c r="E6" t="str">
        <f>INDEX(Geraete!$B$2:$B$36,MATCH($A6,Geraete!$A$2:$A$36,0))</f>
        <v>Smartphone</v>
      </c>
      <c r="F6" t="str">
        <f>INDEX(Geraete!$C$2:$C$36,MATCH($A6,Geraete!$A$2:$A$36,0))</f>
        <v>Samsung S21</v>
      </c>
      <c r="G6" s="2">
        <f>INDEX(Geraete!$D$2:$D$36,MATCH($A6,Geraete!$A$2:$A$36,0))</f>
        <v>45292</v>
      </c>
      <c r="H6">
        <f>INDEX(Geraete!$E$2:$E$36,MATCH($A6,Geraete!$A$2:$A$36,0))</f>
        <v>1257.96</v>
      </c>
      <c r="I6" t="str">
        <f>INDEX(Geraete!$F$2:$F$36,MATCH($A6,Geraete!$A$2:$A$36,0))</f>
        <v>München</v>
      </c>
      <c r="J6" t="str">
        <f>INDEX(Mitarbeiter!$B$2:$B$13,MATCH($B6,Mitarbeiter!$A$2:$A$13,0))</f>
        <v>Ariane Klemt-Kaul</v>
      </c>
      <c r="K6" t="str">
        <f>INDEX(Mitarbeiter!$C$2:$C$13,MATCH($B6,Mitarbeiter!$A$2:$A$13,0))</f>
        <v>IT</v>
      </c>
      <c r="L6" t="str">
        <f>INDEX(Mitarbeiter!$D$2:$D$13,MATCH($B6,Mitarbeiter!$A$2:$A$13,0))</f>
        <v>München</v>
      </c>
    </row>
    <row r="7" spans="1:12" x14ac:dyDescent="0.2">
      <c r="A7" t="str">
        <f>Ausleihen!A7</f>
        <v>G0005</v>
      </c>
      <c r="B7">
        <f>Ausleihen!B7</f>
        <v>1009</v>
      </c>
      <c r="C7" s="2">
        <f>Ausleihen!C7</f>
        <v>45389</v>
      </c>
      <c r="D7" s="2" t="str">
        <f>IF(Ausleihen!D7="","",Ausleihen!D7)</f>
        <v/>
      </c>
      <c r="E7" t="str">
        <f>INDEX(Geraete!$B$2:$B$36,MATCH($A7,Geraete!$A$2:$A$36,0))</f>
        <v>Drucker</v>
      </c>
      <c r="F7" t="str">
        <f>INDEX(Geraete!$C$2:$C$36,MATCH($A7,Geraete!$A$2:$A$36,0))</f>
        <v>Canon Pixma</v>
      </c>
      <c r="G7" s="2">
        <f>INDEX(Geraete!$D$2:$D$36,MATCH($A7,Geraete!$A$2:$A$36,0))</f>
        <v>44503</v>
      </c>
      <c r="H7">
        <f>INDEX(Geraete!$E$2:$E$36,MATCH($A7,Geraete!$A$2:$A$36,0))</f>
        <v>823.23</v>
      </c>
      <c r="I7" t="str">
        <f>INDEX(Geraete!$F$2:$F$36,MATCH($A7,Geraete!$A$2:$A$36,0))</f>
        <v>Berlin</v>
      </c>
      <c r="J7" t="str">
        <f>INDEX(Mitarbeiter!$B$2:$B$13,MATCH($B7,Mitarbeiter!$A$2:$A$13,0))</f>
        <v>Univ.Prof. Heimo Karge</v>
      </c>
      <c r="K7" t="str">
        <f>INDEX(Mitarbeiter!$C$2:$C$13,MATCH($B7,Mitarbeiter!$A$2:$A$13,0))</f>
        <v>Marketing</v>
      </c>
      <c r="L7" t="str">
        <f>INDEX(Mitarbeiter!$D$2:$D$13,MATCH($B7,Mitarbeiter!$A$2:$A$13,0))</f>
        <v>Hamburg</v>
      </c>
    </row>
    <row r="8" spans="1:12" x14ac:dyDescent="0.2">
      <c r="A8" t="str">
        <f>Ausleihen!A8</f>
        <v>G0009</v>
      </c>
      <c r="B8">
        <f>Ausleihen!B8</f>
        <v>1011</v>
      </c>
      <c r="C8" s="2">
        <f>Ausleihen!C8</f>
        <v>45850</v>
      </c>
      <c r="D8" s="2">
        <f>IF(Ausleihen!D8="","",Ausleihen!D8)</f>
        <v>45853</v>
      </c>
      <c r="E8" t="str">
        <f>INDEX(Geraete!$B$2:$B$36,MATCH($A8,Geraete!$A$2:$A$36,0))</f>
        <v>Laptop</v>
      </c>
      <c r="F8" t="str">
        <f>INDEX(Geraete!$C$2:$C$36,MATCH($A8,Geraete!$A$2:$A$36,0))</f>
        <v>Dell XPS</v>
      </c>
      <c r="G8" s="2">
        <f>INDEX(Geraete!$D$2:$D$36,MATCH($A8,Geraete!$A$2:$A$36,0))</f>
        <v>45026</v>
      </c>
      <c r="H8">
        <f>INDEX(Geraete!$E$2:$E$36,MATCH($A8,Geraete!$A$2:$A$36,0))</f>
        <v>1458.02</v>
      </c>
      <c r="I8" t="str">
        <f>INDEX(Geraete!$F$2:$F$36,MATCH($A8,Geraete!$A$2:$A$36,0))</f>
        <v>München</v>
      </c>
      <c r="J8" t="str">
        <f>INDEX(Mitarbeiter!$B$2:$B$13,MATCH($B8,Mitarbeiter!$A$2:$A$13,0))</f>
        <v>Auguste Davids</v>
      </c>
      <c r="K8" t="str">
        <f>INDEX(Mitarbeiter!$C$2:$C$13,MATCH($B8,Mitarbeiter!$A$2:$A$13,0))</f>
        <v>IT</v>
      </c>
      <c r="L8" t="str">
        <f>INDEX(Mitarbeiter!$D$2:$D$13,MATCH($B8,Mitarbeiter!$A$2:$A$13,0))</f>
        <v>Hamburg</v>
      </c>
    </row>
    <row r="9" spans="1:12" x14ac:dyDescent="0.2">
      <c r="A9" t="str">
        <f>Ausleihen!A9</f>
        <v>G0011</v>
      </c>
      <c r="B9">
        <f>Ausleihen!B9</f>
        <v>1005</v>
      </c>
      <c r="C9" s="2">
        <f>Ausleihen!C9</f>
        <v>45837</v>
      </c>
      <c r="D9" s="2">
        <f>IF(Ausleihen!D9="","",Ausleihen!D9)</f>
        <v>45898</v>
      </c>
      <c r="E9" t="str">
        <f>INDEX(Geraete!$B$2:$B$36,MATCH($A9,Geraete!$A$2:$A$36,0))</f>
        <v>Drucker</v>
      </c>
      <c r="F9" t="str">
        <f>INDEX(Geraete!$C$2:$C$36,MATCH($A9,Geraete!$A$2:$A$36,0))</f>
        <v>Brother HL</v>
      </c>
      <c r="G9" s="2">
        <f>INDEX(Geraete!$D$2:$D$36,MATCH($A9,Geraete!$A$2:$A$36,0))</f>
        <v>45909</v>
      </c>
      <c r="H9">
        <f>INDEX(Geraete!$E$2:$E$36,MATCH($A9,Geraete!$A$2:$A$36,0))</f>
        <v>1417.1</v>
      </c>
      <c r="I9" t="str">
        <f>INDEX(Geraete!$F$2:$F$36,MATCH($A9,Geraete!$A$2:$A$36,0))</f>
        <v>München</v>
      </c>
      <c r="J9" t="str">
        <f>INDEX(Mitarbeiter!$B$2:$B$13,MATCH($B9,Mitarbeiter!$A$2:$A$13,0))</f>
        <v>Alexandre Davids</v>
      </c>
      <c r="K9" t="str">
        <f>INDEX(Mitarbeiter!$C$2:$C$13,MATCH($B9,Mitarbeiter!$A$2:$A$13,0))</f>
        <v>Vertrieb</v>
      </c>
      <c r="L9" t="str">
        <f>INDEX(Mitarbeiter!$D$2:$D$13,MATCH($B9,Mitarbeiter!$A$2:$A$13,0))</f>
        <v>Berlin</v>
      </c>
    </row>
    <row r="10" spans="1:12" x14ac:dyDescent="0.2">
      <c r="A10" t="str">
        <f>Ausleihen!A10</f>
        <v>G0028</v>
      </c>
      <c r="B10">
        <f>Ausleihen!B10</f>
        <v>1004</v>
      </c>
      <c r="C10" s="2">
        <f>Ausleihen!C10</f>
        <v>45523</v>
      </c>
      <c r="D10" s="2" t="str">
        <f>IF(Ausleihen!D10="","",Ausleihen!D10)</f>
        <v/>
      </c>
      <c r="E10" t="str">
        <f>INDEX(Geraete!$B$2:$B$36,MATCH($A10,Geraete!$A$2:$A$36,0))</f>
        <v>Beamer</v>
      </c>
      <c r="F10" t="str">
        <f>INDEX(Geraete!$C$2:$C$36,MATCH($A10,Geraete!$A$2:$A$36,0))</f>
        <v>Epson EB</v>
      </c>
      <c r="G10" s="2">
        <f>INDEX(Geraete!$D$2:$D$36,MATCH($A10,Geraete!$A$2:$A$36,0))</f>
        <v>44945</v>
      </c>
      <c r="H10">
        <f>INDEX(Geraete!$E$2:$E$36,MATCH($A10,Geraete!$A$2:$A$36,0))</f>
        <v>1246.58</v>
      </c>
      <c r="I10" t="str">
        <f>INDEX(Geraete!$F$2:$F$36,MATCH($A10,Geraete!$A$2:$A$36,0))</f>
        <v>Hamburg</v>
      </c>
      <c r="J10" t="str">
        <f>INDEX(Mitarbeiter!$B$2:$B$13,MATCH($B10,Mitarbeiter!$A$2:$A$13,0))</f>
        <v>Klemens Löffler</v>
      </c>
      <c r="K10" t="str">
        <f>INDEX(Mitarbeiter!$C$2:$C$13,MATCH($B10,Mitarbeiter!$A$2:$A$13,0))</f>
        <v>Vertrieb</v>
      </c>
      <c r="L10" t="str">
        <f>INDEX(Mitarbeiter!$D$2:$D$13,MATCH($B10,Mitarbeiter!$A$2:$A$13,0))</f>
        <v>Hamburg</v>
      </c>
    </row>
    <row r="11" spans="1:12" x14ac:dyDescent="0.2">
      <c r="A11" t="str">
        <f>Ausleihen!A11</f>
        <v>G0013</v>
      </c>
      <c r="B11">
        <f>Ausleihen!B11</f>
        <v>1012</v>
      </c>
      <c r="C11" s="2">
        <f>Ausleihen!C11</f>
        <v>45419</v>
      </c>
      <c r="D11" s="2">
        <f>IF(Ausleihen!D11="","",Ausleihen!D11)</f>
        <v>45470</v>
      </c>
      <c r="E11" t="str">
        <f>INDEX(Geraete!$B$2:$B$36,MATCH($A11,Geraete!$A$2:$A$36,0))</f>
        <v>Drucker</v>
      </c>
      <c r="F11" t="str">
        <f>INDEX(Geraete!$C$2:$C$36,MATCH($A11,Geraete!$A$2:$A$36,0))</f>
        <v>Canon Pixma</v>
      </c>
      <c r="G11" s="2">
        <f>INDEX(Geraete!$D$2:$D$36,MATCH($A11,Geraete!$A$2:$A$36,0))</f>
        <v>44332</v>
      </c>
      <c r="H11">
        <f>INDEX(Geraete!$E$2:$E$36,MATCH($A11,Geraete!$A$2:$A$36,0))</f>
        <v>1898.65</v>
      </c>
      <c r="I11" t="str">
        <f>INDEX(Geraete!$F$2:$F$36,MATCH($A11,Geraete!$A$2:$A$36,0))</f>
        <v>Hamburg</v>
      </c>
      <c r="J11" t="str">
        <f>INDEX(Mitarbeiter!$B$2:$B$13,MATCH($B11,Mitarbeiter!$A$2:$A$13,0))</f>
        <v>Ariane Klemt-Kaul</v>
      </c>
      <c r="K11" t="str">
        <f>INDEX(Mitarbeiter!$C$2:$C$13,MATCH($B11,Mitarbeiter!$A$2:$A$13,0))</f>
        <v>IT</v>
      </c>
      <c r="L11" t="str">
        <f>INDEX(Mitarbeiter!$D$2:$D$13,MATCH($B11,Mitarbeiter!$A$2:$A$13,0))</f>
        <v>München</v>
      </c>
    </row>
    <row r="12" spans="1:12" x14ac:dyDescent="0.2">
      <c r="A12" t="str">
        <f>Ausleihen!A12</f>
        <v>G0024</v>
      </c>
      <c r="B12">
        <f>Ausleihen!B12</f>
        <v>1008</v>
      </c>
      <c r="C12" s="2">
        <f>Ausleihen!C12</f>
        <v>45375</v>
      </c>
      <c r="D12" s="2" t="str">
        <f>IF(Ausleihen!D12="","",Ausleihen!D12)</f>
        <v/>
      </c>
      <c r="E12" t="str">
        <f>INDEX(Geraete!$B$2:$B$36,MATCH($A12,Geraete!$A$2:$A$36,0))</f>
        <v>Monitor</v>
      </c>
      <c r="F12" t="str">
        <f>INDEX(Geraete!$C$2:$C$36,MATCH($A12,Geraete!$A$2:$A$36,0))</f>
        <v>Dell UltraSharp</v>
      </c>
      <c r="G12" s="2">
        <f>INDEX(Geraete!$D$2:$D$36,MATCH($A12,Geraete!$A$2:$A$36,0))</f>
        <v>44621</v>
      </c>
      <c r="H12">
        <f>INDEX(Geraete!$E$2:$E$36,MATCH($A12,Geraete!$A$2:$A$36,0))</f>
        <v>750.91</v>
      </c>
      <c r="I12" t="str">
        <f>INDEX(Geraete!$F$2:$F$36,MATCH($A12,Geraete!$A$2:$A$36,0))</f>
        <v>Berlin</v>
      </c>
      <c r="J12" t="str">
        <f>INDEX(Mitarbeiter!$B$2:$B$13,MATCH($B12,Mitarbeiter!$A$2:$A$13,0))</f>
        <v>Dipl.-Ing. Klaus-Werner Holsten B.Sc.</v>
      </c>
      <c r="K12" t="str">
        <f>INDEX(Mitarbeiter!$C$2:$C$13,MATCH($B12,Mitarbeiter!$A$2:$A$13,0))</f>
        <v>IT</v>
      </c>
      <c r="L12" t="str">
        <f>INDEX(Mitarbeiter!$D$2:$D$13,MATCH($B12,Mitarbeiter!$A$2:$A$13,0))</f>
        <v>Hamburg</v>
      </c>
    </row>
    <row r="13" spans="1:12" x14ac:dyDescent="0.2">
      <c r="A13" t="str">
        <f>Ausleihen!A13</f>
        <v>G0029</v>
      </c>
      <c r="B13">
        <f>Ausleihen!B13</f>
        <v>1002</v>
      </c>
      <c r="C13" s="2">
        <f>Ausleihen!C13</f>
        <v>45921</v>
      </c>
      <c r="D13" s="2">
        <f>IF(Ausleihen!D13="","",Ausleihen!D13)</f>
        <v>45934</v>
      </c>
      <c r="E13" t="str">
        <f>INDEX(Geraete!$B$2:$B$36,MATCH($A13,Geraete!$A$2:$A$36,0))</f>
        <v>Laptop</v>
      </c>
      <c r="F13" t="str">
        <f>INDEX(Geraete!$C$2:$C$36,MATCH($A13,Geraete!$A$2:$A$36,0))</f>
        <v>Lenovo ThinkPad</v>
      </c>
      <c r="G13" s="2">
        <f>INDEX(Geraete!$D$2:$D$36,MATCH($A13,Geraete!$A$2:$A$36,0))</f>
        <v>44337</v>
      </c>
      <c r="H13">
        <f>INDEX(Geraete!$E$2:$E$36,MATCH($A13,Geraete!$A$2:$A$36,0))</f>
        <v>1553.15</v>
      </c>
      <c r="I13" t="str">
        <f>INDEX(Geraete!$F$2:$F$36,MATCH($A13,Geraete!$A$2:$A$36,0))</f>
        <v>Hamburg</v>
      </c>
      <c r="J13" t="str">
        <f>INDEX(Mitarbeiter!$B$2:$B$13,MATCH($B13,Mitarbeiter!$A$2:$A$13,0))</f>
        <v>Eleni Hauffer</v>
      </c>
      <c r="K13" t="str">
        <f>INDEX(Mitarbeiter!$C$2:$C$13,MATCH($B13,Mitarbeiter!$A$2:$A$13,0))</f>
        <v>IT</v>
      </c>
      <c r="L13" t="str">
        <f>INDEX(Mitarbeiter!$D$2:$D$13,MATCH($B13,Mitarbeiter!$A$2:$A$13,0))</f>
        <v>Berlin</v>
      </c>
    </row>
    <row r="14" spans="1:12" x14ac:dyDescent="0.2">
      <c r="A14" t="str">
        <f>Ausleihen!A14</f>
        <v>G0005</v>
      </c>
      <c r="B14">
        <f>Ausleihen!B14</f>
        <v>1006</v>
      </c>
      <c r="C14" s="2">
        <f>Ausleihen!C14</f>
        <v>45892</v>
      </c>
      <c r="D14" s="2">
        <f>IF(Ausleihen!D14="","",Ausleihen!D14)</f>
        <v>45922</v>
      </c>
      <c r="E14" t="str">
        <f>INDEX(Geraete!$B$2:$B$36,MATCH($A14,Geraete!$A$2:$A$36,0))</f>
        <v>Drucker</v>
      </c>
      <c r="F14" t="str">
        <f>INDEX(Geraete!$C$2:$C$36,MATCH($A14,Geraete!$A$2:$A$36,0))</f>
        <v>Canon Pixma</v>
      </c>
      <c r="G14" s="2">
        <f>INDEX(Geraete!$D$2:$D$36,MATCH($A14,Geraete!$A$2:$A$36,0))</f>
        <v>44503</v>
      </c>
      <c r="H14">
        <f>INDEX(Geraete!$E$2:$E$36,MATCH($A14,Geraete!$A$2:$A$36,0))</f>
        <v>823.23</v>
      </c>
      <c r="I14" t="str">
        <f>INDEX(Geraete!$F$2:$F$36,MATCH($A14,Geraete!$A$2:$A$36,0))</f>
        <v>Berlin</v>
      </c>
      <c r="J14" t="str">
        <f>INDEX(Mitarbeiter!$B$2:$B$13,MATCH($B14,Mitarbeiter!$A$2:$A$13,0))</f>
        <v>Eric Patberg B.Sc.</v>
      </c>
      <c r="K14" t="str">
        <f>INDEX(Mitarbeiter!$C$2:$C$13,MATCH($B14,Mitarbeiter!$A$2:$A$13,0))</f>
        <v>Vertrieb</v>
      </c>
      <c r="L14" t="str">
        <f>INDEX(Mitarbeiter!$D$2:$D$13,MATCH($B14,Mitarbeiter!$A$2:$A$13,0))</f>
        <v>Hamburg</v>
      </c>
    </row>
    <row r="15" spans="1:12" x14ac:dyDescent="0.2">
      <c r="A15" t="str">
        <f>Ausleihen!A15</f>
        <v>G0015</v>
      </c>
      <c r="B15">
        <f>Ausleihen!B15</f>
        <v>1010</v>
      </c>
      <c r="C15" s="2">
        <f>Ausleihen!C15</f>
        <v>45377</v>
      </c>
      <c r="D15" s="2">
        <f>IF(Ausleihen!D15="","",Ausleihen!D15)</f>
        <v>45886</v>
      </c>
      <c r="E15" t="str">
        <f>INDEX(Geraete!$B$2:$B$36,MATCH($A15,Geraete!$A$2:$A$36,0))</f>
        <v>Smartphone</v>
      </c>
      <c r="F15" t="str">
        <f>INDEX(Geraete!$C$2:$C$36,MATCH($A15,Geraete!$A$2:$A$36,0))</f>
        <v>iPhone 13</v>
      </c>
      <c r="G15" s="2">
        <f>INDEX(Geraete!$D$2:$D$36,MATCH($A15,Geraete!$A$2:$A$36,0))</f>
        <v>44824</v>
      </c>
      <c r="H15">
        <f>INDEX(Geraete!$E$2:$E$36,MATCH($A15,Geraete!$A$2:$A$36,0))</f>
        <v>661.44</v>
      </c>
      <c r="I15" t="str">
        <f>INDEX(Geraete!$F$2:$F$36,MATCH($A15,Geraete!$A$2:$A$36,0))</f>
        <v>München</v>
      </c>
      <c r="J15" t="str">
        <f>INDEX(Mitarbeiter!$B$2:$B$13,MATCH($B15,Mitarbeiter!$A$2:$A$13,0))</f>
        <v>Carolin Hande</v>
      </c>
      <c r="K15" t="str">
        <f>INDEX(Mitarbeiter!$C$2:$C$13,MATCH($B15,Mitarbeiter!$A$2:$A$13,0))</f>
        <v>IT</v>
      </c>
      <c r="L15" t="str">
        <f>INDEX(Mitarbeiter!$D$2:$D$13,MATCH($B15,Mitarbeiter!$A$2:$A$13,0))</f>
        <v>Hamburg</v>
      </c>
    </row>
    <row r="16" spans="1:12" x14ac:dyDescent="0.2">
      <c r="A16" t="str">
        <f>Ausleihen!A16</f>
        <v>G0005</v>
      </c>
      <c r="B16">
        <f>Ausleihen!B16</f>
        <v>1012</v>
      </c>
      <c r="C16" s="2">
        <f>Ausleihen!C16</f>
        <v>45599</v>
      </c>
      <c r="D16" s="2" t="str">
        <f>IF(Ausleihen!D16="","",Ausleihen!D16)</f>
        <v/>
      </c>
      <c r="E16" t="str">
        <f>INDEX(Geraete!$B$2:$B$36,MATCH($A16,Geraete!$A$2:$A$36,0))</f>
        <v>Drucker</v>
      </c>
      <c r="F16" t="str">
        <f>INDEX(Geraete!$C$2:$C$36,MATCH($A16,Geraete!$A$2:$A$36,0))</f>
        <v>Canon Pixma</v>
      </c>
      <c r="G16" s="2">
        <f>INDEX(Geraete!$D$2:$D$36,MATCH($A16,Geraete!$A$2:$A$36,0))</f>
        <v>44503</v>
      </c>
      <c r="H16">
        <f>INDEX(Geraete!$E$2:$E$36,MATCH($A16,Geraete!$A$2:$A$36,0))</f>
        <v>823.23</v>
      </c>
      <c r="I16" t="str">
        <f>INDEX(Geraete!$F$2:$F$36,MATCH($A16,Geraete!$A$2:$A$36,0))</f>
        <v>Berlin</v>
      </c>
      <c r="J16" t="str">
        <f>INDEX(Mitarbeiter!$B$2:$B$13,MATCH($B16,Mitarbeiter!$A$2:$A$13,0))</f>
        <v>Ariane Klemt-Kaul</v>
      </c>
      <c r="K16" t="str">
        <f>INDEX(Mitarbeiter!$C$2:$C$13,MATCH($B16,Mitarbeiter!$A$2:$A$13,0))</f>
        <v>IT</v>
      </c>
      <c r="L16" t="str">
        <f>INDEX(Mitarbeiter!$D$2:$D$13,MATCH($B16,Mitarbeiter!$A$2:$A$13,0))</f>
        <v>München</v>
      </c>
    </row>
    <row r="17" spans="1:12" x14ac:dyDescent="0.2">
      <c r="A17" t="str">
        <f>Ausleihen!A17</f>
        <v>G0015</v>
      </c>
      <c r="B17">
        <f>Ausleihen!B17</f>
        <v>1002</v>
      </c>
      <c r="C17" s="2">
        <f>Ausleihen!C17</f>
        <v>45519</v>
      </c>
      <c r="D17" s="2" t="str">
        <f>IF(Ausleihen!D17="","",Ausleihen!D17)</f>
        <v/>
      </c>
      <c r="E17" t="str">
        <f>INDEX(Geraete!$B$2:$B$36,MATCH($A17,Geraete!$A$2:$A$36,0))</f>
        <v>Smartphone</v>
      </c>
      <c r="F17" t="str">
        <f>INDEX(Geraete!$C$2:$C$36,MATCH($A17,Geraete!$A$2:$A$36,0))</f>
        <v>iPhone 13</v>
      </c>
      <c r="G17" s="2">
        <f>INDEX(Geraete!$D$2:$D$36,MATCH($A17,Geraete!$A$2:$A$36,0))</f>
        <v>44824</v>
      </c>
      <c r="H17">
        <f>INDEX(Geraete!$E$2:$E$36,MATCH($A17,Geraete!$A$2:$A$36,0))</f>
        <v>661.44</v>
      </c>
      <c r="I17" t="str">
        <f>INDEX(Geraete!$F$2:$F$36,MATCH($A17,Geraete!$A$2:$A$36,0))</f>
        <v>München</v>
      </c>
      <c r="J17" t="str">
        <f>INDEX(Mitarbeiter!$B$2:$B$13,MATCH($B17,Mitarbeiter!$A$2:$A$13,0))</f>
        <v>Eleni Hauffer</v>
      </c>
      <c r="K17" t="str">
        <f>INDEX(Mitarbeiter!$C$2:$C$13,MATCH($B17,Mitarbeiter!$A$2:$A$13,0))</f>
        <v>IT</v>
      </c>
      <c r="L17" t="str">
        <f>INDEX(Mitarbeiter!$D$2:$D$13,MATCH($B17,Mitarbeiter!$A$2:$A$13,0))</f>
        <v>Berlin</v>
      </c>
    </row>
    <row r="18" spans="1:12" x14ac:dyDescent="0.2">
      <c r="A18" t="str">
        <f>Ausleihen!A18</f>
        <v>G0022</v>
      </c>
      <c r="B18">
        <f>Ausleihen!B18</f>
        <v>1002</v>
      </c>
      <c r="C18" s="2">
        <f>Ausleihen!C18</f>
        <v>45899</v>
      </c>
      <c r="D18" s="2">
        <f>IF(Ausleihen!D18="","",Ausleihen!D18)</f>
        <v>45930</v>
      </c>
      <c r="E18" t="str">
        <f>INDEX(Geraete!$B$2:$B$36,MATCH($A18,Geraete!$A$2:$A$36,0))</f>
        <v>Tablet</v>
      </c>
      <c r="F18" t="str">
        <f>INDEX(Geraete!$C$2:$C$36,MATCH($A18,Geraete!$A$2:$A$36,0))</f>
        <v>iPad</v>
      </c>
      <c r="G18" s="2">
        <f>INDEX(Geraete!$D$2:$D$36,MATCH($A18,Geraete!$A$2:$A$36,0))</f>
        <v>45524</v>
      </c>
      <c r="H18">
        <f>INDEX(Geraete!$E$2:$E$36,MATCH($A18,Geraete!$A$2:$A$36,0))</f>
        <v>1591.98</v>
      </c>
      <c r="I18" t="str">
        <f>INDEX(Geraete!$F$2:$F$36,MATCH($A18,Geraete!$A$2:$A$36,0))</f>
        <v>Hamburg</v>
      </c>
      <c r="J18" t="str">
        <f>INDEX(Mitarbeiter!$B$2:$B$13,MATCH($B18,Mitarbeiter!$A$2:$A$13,0))</f>
        <v>Eleni Hauffer</v>
      </c>
      <c r="K18" t="str">
        <f>INDEX(Mitarbeiter!$C$2:$C$13,MATCH($B18,Mitarbeiter!$A$2:$A$13,0))</f>
        <v>IT</v>
      </c>
      <c r="L18" t="str">
        <f>INDEX(Mitarbeiter!$D$2:$D$13,MATCH($B18,Mitarbeiter!$A$2:$A$13,0))</f>
        <v>Berlin</v>
      </c>
    </row>
    <row r="19" spans="1:12" x14ac:dyDescent="0.2">
      <c r="A19" t="str">
        <f>Ausleihen!A19</f>
        <v>G0018</v>
      </c>
      <c r="B19">
        <f>Ausleihen!B19</f>
        <v>1011</v>
      </c>
      <c r="C19" s="2">
        <f>Ausleihen!C19</f>
        <v>45568</v>
      </c>
      <c r="D19" s="2">
        <f>IF(Ausleihen!D19="","",Ausleihen!D19)</f>
        <v>45623</v>
      </c>
      <c r="E19" t="str">
        <f>INDEX(Geraete!$B$2:$B$36,MATCH($A19,Geraete!$A$2:$A$36,0))</f>
        <v>Tablet</v>
      </c>
      <c r="F19" t="str">
        <f>INDEX(Geraete!$C$2:$C$36,MATCH($A19,Geraete!$A$2:$A$36,0))</f>
        <v>iPad</v>
      </c>
      <c r="G19" s="2">
        <f>INDEX(Geraete!$D$2:$D$36,MATCH($A19,Geraete!$A$2:$A$36,0))</f>
        <v>44839</v>
      </c>
      <c r="H19">
        <f>INDEX(Geraete!$E$2:$E$36,MATCH($A19,Geraete!$A$2:$A$36,0))</f>
        <v>1688.07</v>
      </c>
      <c r="I19" t="str">
        <f>INDEX(Geraete!$F$2:$F$36,MATCH($A19,Geraete!$A$2:$A$36,0))</f>
        <v>München</v>
      </c>
      <c r="J19" t="str">
        <f>INDEX(Mitarbeiter!$B$2:$B$13,MATCH($B19,Mitarbeiter!$A$2:$A$13,0))</f>
        <v>Auguste Davids</v>
      </c>
      <c r="K19" t="str">
        <f>INDEX(Mitarbeiter!$C$2:$C$13,MATCH($B19,Mitarbeiter!$A$2:$A$13,0))</f>
        <v>IT</v>
      </c>
      <c r="L19" t="str">
        <f>INDEX(Mitarbeiter!$D$2:$D$13,MATCH($B19,Mitarbeiter!$A$2:$A$13,0))</f>
        <v>Hamburg</v>
      </c>
    </row>
    <row r="20" spans="1:12" x14ac:dyDescent="0.2">
      <c r="A20" t="str">
        <f>Ausleihen!A20</f>
        <v>G0035</v>
      </c>
      <c r="B20">
        <f>Ausleihen!B20</f>
        <v>1003</v>
      </c>
      <c r="C20" s="2">
        <f>Ausleihen!C20</f>
        <v>45417</v>
      </c>
      <c r="D20" s="2" t="str">
        <f>IF(Ausleihen!D20="","",Ausleihen!D20)</f>
        <v/>
      </c>
      <c r="E20" t="str">
        <f>INDEX(Geraete!$B$2:$B$36,MATCH($A20,Geraete!$A$2:$A$36,0))</f>
        <v>Beamer</v>
      </c>
      <c r="F20" t="str">
        <f>INDEX(Geraete!$C$2:$C$36,MATCH($A20,Geraete!$A$2:$A$36,0))</f>
        <v>BenQ MW550</v>
      </c>
      <c r="G20" s="2">
        <f>INDEX(Geraete!$D$2:$D$36,MATCH($A20,Geraete!$A$2:$A$36,0))</f>
        <v>45294</v>
      </c>
      <c r="H20">
        <f>INDEX(Geraete!$E$2:$E$36,MATCH($A20,Geraete!$A$2:$A$36,0))</f>
        <v>644.54</v>
      </c>
      <c r="I20" t="str">
        <f>INDEX(Geraete!$F$2:$F$36,MATCH($A20,Geraete!$A$2:$A$36,0))</f>
        <v>Berlin</v>
      </c>
      <c r="J20" t="str">
        <f>INDEX(Mitarbeiter!$B$2:$B$13,MATCH($B20,Mitarbeiter!$A$2:$A$13,0))</f>
        <v>Paul Dobes-Stiffel</v>
      </c>
      <c r="K20" t="str">
        <f>INDEX(Mitarbeiter!$C$2:$C$13,MATCH($B20,Mitarbeiter!$A$2:$A$13,0))</f>
        <v>Produktion</v>
      </c>
      <c r="L20" t="str">
        <f>INDEX(Mitarbeiter!$D$2:$D$13,MATCH($B20,Mitarbeiter!$A$2:$A$13,0))</f>
        <v>Hamburg</v>
      </c>
    </row>
    <row r="21" spans="1:12" x14ac:dyDescent="0.2">
      <c r="A21" t="str">
        <f>Ausleihen!A21</f>
        <v>G0031</v>
      </c>
      <c r="B21">
        <f>Ausleihen!B21</f>
        <v>1004</v>
      </c>
      <c r="C21" s="2">
        <f>Ausleihen!C21</f>
        <v>45320</v>
      </c>
      <c r="D21" s="2" t="str">
        <f>IF(Ausleihen!D21="","",Ausleihen!D21)</f>
        <v/>
      </c>
      <c r="E21" t="str">
        <f>INDEX(Geraete!$B$2:$B$36,MATCH($A21,Geraete!$A$2:$A$36,0))</f>
        <v>Laptop</v>
      </c>
      <c r="F21" t="str">
        <f>INDEX(Geraete!$C$2:$C$36,MATCH($A21,Geraete!$A$2:$A$36,0))</f>
        <v>HP EliteBook</v>
      </c>
      <c r="G21" s="2">
        <f>INDEX(Geraete!$D$2:$D$36,MATCH($A21,Geraete!$A$2:$A$36,0))</f>
        <v>45775</v>
      </c>
      <c r="H21">
        <f>INDEX(Geraete!$E$2:$E$36,MATCH($A21,Geraete!$A$2:$A$36,0))</f>
        <v>1095.6199999999999</v>
      </c>
      <c r="I21" t="str">
        <f>INDEX(Geraete!$F$2:$F$36,MATCH($A21,Geraete!$A$2:$A$36,0))</f>
        <v>München</v>
      </c>
      <c r="J21" t="str">
        <f>INDEX(Mitarbeiter!$B$2:$B$13,MATCH($B21,Mitarbeiter!$A$2:$A$13,0))</f>
        <v>Klemens Löffler</v>
      </c>
      <c r="K21" t="str">
        <f>INDEX(Mitarbeiter!$C$2:$C$13,MATCH($B21,Mitarbeiter!$A$2:$A$13,0))</f>
        <v>Vertrieb</v>
      </c>
      <c r="L21" t="str">
        <f>INDEX(Mitarbeiter!$D$2:$D$13,MATCH($B21,Mitarbeiter!$A$2:$A$13,0))</f>
        <v>Hamburg</v>
      </c>
    </row>
    <row r="22" spans="1:12" x14ac:dyDescent="0.2">
      <c r="A22" t="str">
        <f>Ausleihen!A22</f>
        <v>G0027</v>
      </c>
      <c r="B22">
        <f>Ausleihen!B22</f>
        <v>1004</v>
      </c>
      <c r="C22" s="2">
        <f>Ausleihen!C22</f>
        <v>45403</v>
      </c>
      <c r="D22" s="2">
        <f>IF(Ausleihen!D22="","",Ausleihen!D22)</f>
        <v>45839</v>
      </c>
      <c r="E22" t="str">
        <f>INDEX(Geraete!$B$2:$B$36,MATCH($A22,Geraete!$A$2:$A$36,0))</f>
        <v>Monitor</v>
      </c>
      <c r="F22" t="str">
        <f>INDEX(Geraete!$C$2:$C$36,MATCH($A22,Geraete!$A$2:$A$36,0))</f>
        <v>Samsung Curved</v>
      </c>
      <c r="G22" s="2">
        <f>INDEX(Geraete!$D$2:$D$36,MATCH($A22,Geraete!$A$2:$A$36,0))</f>
        <v>44766</v>
      </c>
      <c r="H22">
        <f>INDEX(Geraete!$E$2:$E$36,MATCH($A22,Geraete!$A$2:$A$36,0))</f>
        <v>501.64</v>
      </c>
      <c r="I22" t="str">
        <f>INDEX(Geraete!$F$2:$F$36,MATCH($A22,Geraete!$A$2:$A$36,0))</f>
        <v>München</v>
      </c>
      <c r="J22" t="str">
        <f>INDEX(Mitarbeiter!$B$2:$B$13,MATCH($B22,Mitarbeiter!$A$2:$A$13,0))</f>
        <v>Klemens Löffler</v>
      </c>
      <c r="K22" t="str">
        <f>INDEX(Mitarbeiter!$C$2:$C$13,MATCH($B22,Mitarbeiter!$A$2:$A$13,0))</f>
        <v>Vertrieb</v>
      </c>
      <c r="L22" t="str">
        <f>INDEX(Mitarbeiter!$D$2:$D$13,MATCH($B22,Mitarbeiter!$A$2:$A$13,0))</f>
        <v>Hamburg</v>
      </c>
    </row>
    <row r="23" spans="1:12" x14ac:dyDescent="0.2">
      <c r="A23" t="str">
        <f>Ausleihen!A23</f>
        <v>G0028</v>
      </c>
      <c r="B23">
        <f>Ausleihen!B23</f>
        <v>1006</v>
      </c>
      <c r="C23" s="2">
        <f>Ausleihen!C23</f>
        <v>45630</v>
      </c>
      <c r="D23" s="2">
        <f>IF(Ausleihen!D23="","",Ausleihen!D23)</f>
        <v>45732</v>
      </c>
      <c r="E23" t="str">
        <f>INDEX(Geraete!$B$2:$B$36,MATCH($A23,Geraete!$A$2:$A$36,0))</f>
        <v>Beamer</v>
      </c>
      <c r="F23" t="str">
        <f>INDEX(Geraete!$C$2:$C$36,MATCH($A23,Geraete!$A$2:$A$36,0))</f>
        <v>Epson EB</v>
      </c>
      <c r="G23" s="2">
        <f>INDEX(Geraete!$D$2:$D$36,MATCH($A23,Geraete!$A$2:$A$36,0))</f>
        <v>44945</v>
      </c>
      <c r="H23">
        <f>INDEX(Geraete!$E$2:$E$36,MATCH($A23,Geraete!$A$2:$A$36,0))</f>
        <v>1246.58</v>
      </c>
      <c r="I23" t="str">
        <f>INDEX(Geraete!$F$2:$F$36,MATCH($A23,Geraete!$A$2:$A$36,0))</f>
        <v>Hamburg</v>
      </c>
      <c r="J23" t="str">
        <f>INDEX(Mitarbeiter!$B$2:$B$13,MATCH($B23,Mitarbeiter!$A$2:$A$13,0))</f>
        <v>Eric Patberg B.Sc.</v>
      </c>
      <c r="K23" t="str">
        <f>INDEX(Mitarbeiter!$C$2:$C$13,MATCH($B23,Mitarbeiter!$A$2:$A$13,0))</f>
        <v>Vertrieb</v>
      </c>
      <c r="L23" t="str">
        <f>INDEX(Mitarbeiter!$D$2:$D$13,MATCH($B23,Mitarbeiter!$A$2:$A$13,0))</f>
        <v>Hamburg</v>
      </c>
    </row>
    <row r="24" spans="1:12" x14ac:dyDescent="0.2">
      <c r="A24" t="str">
        <f>Ausleihen!A24</f>
        <v>G0030</v>
      </c>
      <c r="B24">
        <f>Ausleihen!B24</f>
        <v>1012</v>
      </c>
      <c r="C24" s="2">
        <f>Ausleihen!C24</f>
        <v>45792</v>
      </c>
      <c r="D24" s="2">
        <f>IF(Ausleihen!D24="","",Ausleihen!D24)</f>
        <v>45905</v>
      </c>
      <c r="E24" t="str">
        <f>INDEX(Geraete!$B$2:$B$36,MATCH($A24,Geraete!$A$2:$A$36,0))</f>
        <v>Beamer</v>
      </c>
      <c r="F24" t="str">
        <f>INDEX(Geraete!$C$2:$C$36,MATCH($A24,Geraete!$A$2:$A$36,0))</f>
        <v>Epson EB</v>
      </c>
      <c r="G24" s="2">
        <f>INDEX(Geraete!$D$2:$D$36,MATCH($A24,Geraete!$A$2:$A$36,0))</f>
        <v>44647</v>
      </c>
      <c r="H24">
        <f>INDEX(Geraete!$E$2:$E$36,MATCH($A24,Geraete!$A$2:$A$36,0))</f>
        <v>1629.76</v>
      </c>
      <c r="I24" t="str">
        <f>INDEX(Geraete!$F$2:$F$36,MATCH($A24,Geraete!$A$2:$A$36,0))</f>
        <v>München</v>
      </c>
      <c r="J24" t="str">
        <f>INDEX(Mitarbeiter!$B$2:$B$13,MATCH($B24,Mitarbeiter!$A$2:$A$13,0))</f>
        <v>Ariane Klemt-Kaul</v>
      </c>
      <c r="K24" t="str">
        <f>INDEX(Mitarbeiter!$C$2:$C$13,MATCH($B24,Mitarbeiter!$A$2:$A$13,0))</f>
        <v>IT</v>
      </c>
      <c r="L24" t="str">
        <f>INDEX(Mitarbeiter!$D$2:$D$13,MATCH($B24,Mitarbeiter!$A$2:$A$13,0))</f>
        <v>München</v>
      </c>
    </row>
    <row r="25" spans="1:12" x14ac:dyDescent="0.2">
      <c r="A25" t="str">
        <f>Ausleihen!A25</f>
        <v>G0007</v>
      </c>
      <c r="B25">
        <f>Ausleihen!B25</f>
        <v>1001</v>
      </c>
      <c r="C25" s="2">
        <f>Ausleihen!C25</f>
        <v>45544</v>
      </c>
      <c r="D25" s="2">
        <f>IF(Ausleihen!D25="","",Ausleihen!D25)</f>
        <v>45854</v>
      </c>
      <c r="E25" t="str">
        <f>INDEX(Geraete!$B$2:$B$36,MATCH($A25,Geraete!$A$2:$A$36,0))</f>
        <v>Laptop</v>
      </c>
      <c r="F25" t="str">
        <f>INDEX(Geraete!$C$2:$C$36,MATCH($A25,Geraete!$A$2:$A$36,0))</f>
        <v>Lenovo ThinkPad</v>
      </c>
      <c r="G25" s="2">
        <f>INDEX(Geraete!$D$2:$D$36,MATCH($A25,Geraete!$A$2:$A$36,0))</f>
        <v>44360</v>
      </c>
      <c r="H25">
        <f>INDEX(Geraete!$E$2:$E$36,MATCH($A25,Geraete!$A$2:$A$36,0))</f>
        <v>869.09</v>
      </c>
      <c r="I25" t="str">
        <f>INDEX(Geraete!$F$2:$F$36,MATCH($A25,Geraete!$A$2:$A$36,0))</f>
        <v>Hamburg</v>
      </c>
      <c r="J25" t="str">
        <f>INDEX(Mitarbeiter!$B$2:$B$13,MATCH($B25,Mitarbeiter!$A$2:$A$13,0))</f>
        <v>Aleksandr Weinhage</v>
      </c>
      <c r="K25" t="str">
        <f>INDEX(Mitarbeiter!$C$2:$C$13,MATCH($B25,Mitarbeiter!$A$2:$A$13,0))</f>
        <v>IT</v>
      </c>
      <c r="L25" t="str">
        <f>INDEX(Mitarbeiter!$D$2:$D$13,MATCH($B25,Mitarbeiter!$A$2:$A$13,0))</f>
        <v>Berlin</v>
      </c>
    </row>
    <row r="26" spans="1:12" x14ac:dyDescent="0.2">
      <c r="A26" t="str">
        <f>Ausleihen!A26</f>
        <v>G0022</v>
      </c>
      <c r="B26">
        <f>Ausleihen!B26</f>
        <v>1002</v>
      </c>
      <c r="C26" s="2">
        <f>Ausleihen!C26</f>
        <v>45493</v>
      </c>
      <c r="D26" s="2">
        <f>IF(Ausleihen!D26="","",Ausleihen!D26)</f>
        <v>45663</v>
      </c>
      <c r="E26" t="str">
        <f>INDEX(Geraete!$B$2:$B$36,MATCH($A26,Geraete!$A$2:$A$36,0))</f>
        <v>Tablet</v>
      </c>
      <c r="F26" t="str">
        <f>INDEX(Geraete!$C$2:$C$36,MATCH($A26,Geraete!$A$2:$A$36,0))</f>
        <v>iPad</v>
      </c>
      <c r="G26" s="2">
        <f>INDEX(Geraete!$D$2:$D$36,MATCH($A26,Geraete!$A$2:$A$36,0))</f>
        <v>45524</v>
      </c>
      <c r="H26">
        <f>INDEX(Geraete!$E$2:$E$36,MATCH($A26,Geraete!$A$2:$A$36,0))</f>
        <v>1591.98</v>
      </c>
      <c r="I26" t="str">
        <f>INDEX(Geraete!$F$2:$F$36,MATCH($A26,Geraete!$A$2:$A$36,0))</f>
        <v>Hamburg</v>
      </c>
      <c r="J26" t="str">
        <f>INDEX(Mitarbeiter!$B$2:$B$13,MATCH($B26,Mitarbeiter!$A$2:$A$13,0))</f>
        <v>Eleni Hauffer</v>
      </c>
      <c r="K26" t="str">
        <f>INDEX(Mitarbeiter!$C$2:$C$13,MATCH($B26,Mitarbeiter!$A$2:$A$13,0))</f>
        <v>IT</v>
      </c>
      <c r="L26" t="str">
        <f>INDEX(Mitarbeiter!$D$2:$D$13,MATCH($B26,Mitarbeiter!$A$2:$A$13,0))</f>
        <v>Berlin</v>
      </c>
    </row>
    <row r="27" spans="1:12" x14ac:dyDescent="0.2">
      <c r="A27" t="str">
        <f>Ausleihen!A27</f>
        <v>G0013</v>
      </c>
      <c r="B27">
        <f>Ausleihen!B27</f>
        <v>1009</v>
      </c>
      <c r="C27" s="2">
        <f>Ausleihen!C27</f>
        <v>45319</v>
      </c>
      <c r="D27" s="2">
        <f>IF(Ausleihen!D27="","",Ausleihen!D27)</f>
        <v>45714</v>
      </c>
      <c r="E27" t="str">
        <f>INDEX(Geraete!$B$2:$B$36,MATCH($A27,Geraete!$A$2:$A$36,0))</f>
        <v>Drucker</v>
      </c>
      <c r="F27" t="str">
        <f>INDEX(Geraete!$C$2:$C$36,MATCH($A27,Geraete!$A$2:$A$36,0))</f>
        <v>Canon Pixma</v>
      </c>
      <c r="G27" s="2">
        <f>INDEX(Geraete!$D$2:$D$36,MATCH($A27,Geraete!$A$2:$A$36,0))</f>
        <v>44332</v>
      </c>
      <c r="H27">
        <f>INDEX(Geraete!$E$2:$E$36,MATCH($A27,Geraete!$A$2:$A$36,0))</f>
        <v>1898.65</v>
      </c>
      <c r="I27" t="str">
        <f>INDEX(Geraete!$F$2:$F$36,MATCH($A27,Geraete!$A$2:$A$36,0))</f>
        <v>Hamburg</v>
      </c>
      <c r="J27" t="str">
        <f>INDEX(Mitarbeiter!$B$2:$B$13,MATCH($B27,Mitarbeiter!$A$2:$A$13,0))</f>
        <v>Univ.Prof. Heimo Karge</v>
      </c>
      <c r="K27" t="str">
        <f>INDEX(Mitarbeiter!$C$2:$C$13,MATCH($B27,Mitarbeiter!$A$2:$A$13,0))</f>
        <v>Marketing</v>
      </c>
      <c r="L27" t="str">
        <f>INDEX(Mitarbeiter!$D$2:$D$13,MATCH($B27,Mitarbeiter!$A$2:$A$13,0))</f>
        <v>Hamburg</v>
      </c>
    </row>
    <row r="28" spans="1:12" x14ac:dyDescent="0.2">
      <c r="A28" t="str">
        <f>Ausleihen!A28</f>
        <v>G0028</v>
      </c>
      <c r="B28">
        <f>Ausleihen!B28</f>
        <v>1003</v>
      </c>
      <c r="C28" s="2">
        <f>Ausleihen!C28</f>
        <v>45595</v>
      </c>
      <c r="D28" s="2">
        <f>IF(Ausleihen!D28="","",Ausleihen!D28)</f>
        <v>45630</v>
      </c>
      <c r="E28" t="str">
        <f>INDEX(Geraete!$B$2:$B$36,MATCH($A28,Geraete!$A$2:$A$36,0))</f>
        <v>Beamer</v>
      </c>
      <c r="F28" t="str">
        <f>INDEX(Geraete!$C$2:$C$36,MATCH($A28,Geraete!$A$2:$A$36,0))</f>
        <v>Epson EB</v>
      </c>
      <c r="G28" s="2">
        <f>INDEX(Geraete!$D$2:$D$36,MATCH($A28,Geraete!$A$2:$A$36,0))</f>
        <v>44945</v>
      </c>
      <c r="H28">
        <f>INDEX(Geraete!$E$2:$E$36,MATCH($A28,Geraete!$A$2:$A$36,0))</f>
        <v>1246.58</v>
      </c>
      <c r="I28" t="str">
        <f>INDEX(Geraete!$F$2:$F$36,MATCH($A28,Geraete!$A$2:$A$36,0))</f>
        <v>Hamburg</v>
      </c>
      <c r="J28" t="str">
        <f>INDEX(Mitarbeiter!$B$2:$B$13,MATCH($B28,Mitarbeiter!$A$2:$A$13,0))</f>
        <v>Paul Dobes-Stiffel</v>
      </c>
      <c r="K28" t="str">
        <f>INDEX(Mitarbeiter!$C$2:$C$13,MATCH($B28,Mitarbeiter!$A$2:$A$13,0))</f>
        <v>Produktion</v>
      </c>
      <c r="L28" t="str">
        <f>INDEX(Mitarbeiter!$D$2:$D$13,MATCH($B28,Mitarbeiter!$A$2:$A$13,0))</f>
        <v>Hamburg</v>
      </c>
    </row>
    <row r="29" spans="1:12" x14ac:dyDescent="0.2">
      <c r="A29" t="str">
        <f>Ausleihen!A29</f>
        <v>G0016</v>
      </c>
      <c r="B29">
        <f>Ausleihen!B29</f>
        <v>1002</v>
      </c>
      <c r="C29" s="2">
        <f>Ausleihen!C29</f>
        <v>45799</v>
      </c>
      <c r="D29" s="2">
        <f>IF(Ausleihen!D29="","",Ausleihen!D29)</f>
        <v>45808</v>
      </c>
      <c r="E29" t="str">
        <f>INDEX(Geraete!$B$2:$B$36,MATCH($A29,Geraete!$A$2:$A$36,0))</f>
        <v>Drucker</v>
      </c>
      <c r="F29" t="str">
        <f>INDEX(Geraete!$C$2:$C$36,MATCH($A29,Geraete!$A$2:$A$36,0))</f>
        <v>Canon Pixma</v>
      </c>
      <c r="G29" s="2">
        <f>INDEX(Geraete!$D$2:$D$36,MATCH($A29,Geraete!$A$2:$A$36,0))</f>
        <v>45015</v>
      </c>
      <c r="H29">
        <f>INDEX(Geraete!$E$2:$E$36,MATCH($A29,Geraete!$A$2:$A$36,0))</f>
        <v>1501.06</v>
      </c>
      <c r="I29" t="str">
        <f>INDEX(Geraete!$F$2:$F$36,MATCH($A29,Geraete!$A$2:$A$36,0))</f>
        <v>Berlin</v>
      </c>
      <c r="J29" t="str">
        <f>INDEX(Mitarbeiter!$B$2:$B$13,MATCH($B29,Mitarbeiter!$A$2:$A$13,0))</f>
        <v>Eleni Hauffer</v>
      </c>
      <c r="K29" t="str">
        <f>INDEX(Mitarbeiter!$C$2:$C$13,MATCH($B29,Mitarbeiter!$A$2:$A$13,0))</f>
        <v>IT</v>
      </c>
      <c r="L29" t="str">
        <f>INDEX(Mitarbeiter!$D$2:$D$13,MATCH($B29,Mitarbeiter!$A$2:$A$13,0))</f>
        <v>Berlin</v>
      </c>
    </row>
    <row r="30" spans="1:12" x14ac:dyDescent="0.2">
      <c r="A30" t="str">
        <f>Ausleihen!A30</f>
        <v>G0007</v>
      </c>
      <c r="B30">
        <f>Ausleihen!B30</f>
        <v>1001</v>
      </c>
      <c r="C30" s="2">
        <f>Ausleihen!C30</f>
        <v>45880</v>
      </c>
      <c r="D30" s="2" t="str">
        <f>IF(Ausleihen!D30="","",Ausleihen!D30)</f>
        <v/>
      </c>
      <c r="E30" t="str">
        <f>INDEX(Geraete!$B$2:$B$36,MATCH($A30,Geraete!$A$2:$A$36,0))</f>
        <v>Laptop</v>
      </c>
      <c r="F30" t="str">
        <f>INDEX(Geraete!$C$2:$C$36,MATCH($A30,Geraete!$A$2:$A$36,0))</f>
        <v>Lenovo ThinkPad</v>
      </c>
      <c r="G30" s="2">
        <f>INDEX(Geraete!$D$2:$D$36,MATCH($A30,Geraete!$A$2:$A$36,0))</f>
        <v>44360</v>
      </c>
      <c r="H30">
        <f>INDEX(Geraete!$E$2:$E$36,MATCH($A30,Geraete!$A$2:$A$36,0))</f>
        <v>869.09</v>
      </c>
      <c r="I30" t="str">
        <f>INDEX(Geraete!$F$2:$F$36,MATCH($A30,Geraete!$A$2:$A$36,0))</f>
        <v>Hamburg</v>
      </c>
      <c r="J30" t="str">
        <f>INDEX(Mitarbeiter!$B$2:$B$13,MATCH($B30,Mitarbeiter!$A$2:$A$13,0))</f>
        <v>Aleksandr Weinhage</v>
      </c>
      <c r="K30" t="str">
        <f>INDEX(Mitarbeiter!$C$2:$C$13,MATCH($B30,Mitarbeiter!$A$2:$A$13,0))</f>
        <v>IT</v>
      </c>
      <c r="L30" t="str">
        <f>INDEX(Mitarbeiter!$D$2:$D$13,MATCH($B30,Mitarbeiter!$A$2:$A$13,0))</f>
        <v>Berlin</v>
      </c>
    </row>
    <row r="31" spans="1:12" x14ac:dyDescent="0.2">
      <c r="A31" t="str">
        <f>Ausleihen!A31</f>
        <v>G0035</v>
      </c>
      <c r="B31">
        <f>Ausleihen!B31</f>
        <v>1001</v>
      </c>
      <c r="C31" s="2">
        <f>Ausleihen!C31</f>
        <v>45297</v>
      </c>
      <c r="D31" s="2" t="str">
        <f>IF(Ausleihen!D31="","",Ausleihen!D31)</f>
        <v/>
      </c>
      <c r="E31" t="str">
        <f>INDEX(Geraete!$B$2:$B$36,MATCH($A31,Geraete!$A$2:$A$36,0))</f>
        <v>Beamer</v>
      </c>
      <c r="F31" t="str">
        <f>INDEX(Geraete!$C$2:$C$36,MATCH($A31,Geraete!$A$2:$A$36,0))</f>
        <v>BenQ MW550</v>
      </c>
      <c r="G31" s="2">
        <f>INDEX(Geraete!$D$2:$D$36,MATCH($A31,Geraete!$A$2:$A$36,0))</f>
        <v>45294</v>
      </c>
      <c r="H31">
        <f>INDEX(Geraete!$E$2:$E$36,MATCH($A31,Geraete!$A$2:$A$36,0))</f>
        <v>644.54</v>
      </c>
      <c r="I31" t="str">
        <f>INDEX(Geraete!$F$2:$F$36,MATCH($A31,Geraete!$A$2:$A$36,0))</f>
        <v>Berlin</v>
      </c>
      <c r="J31" t="str">
        <f>INDEX(Mitarbeiter!$B$2:$B$13,MATCH($B31,Mitarbeiter!$A$2:$A$13,0))</f>
        <v>Aleksandr Weinhage</v>
      </c>
      <c r="K31" t="str">
        <f>INDEX(Mitarbeiter!$C$2:$C$13,MATCH($B31,Mitarbeiter!$A$2:$A$13,0))</f>
        <v>IT</v>
      </c>
      <c r="L31" t="str">
        <f>INDEX(Mitarbeiter!$D$2:$D$13,MATCH($B31,Mitarbeiter!$A$2:$A$13,0))</f>
        <v>Berlin</v>
      </c>
    </row>
    <row r="32" spans="1:12" x14ac:dyDescent="0.2">
      <c r="A32" t="str">
        <f>Ausleihen!A32</f>
        <v>G0016</v>
      </c>
      <c r="B32">
        <f>Ausleihen!B32</f>
        <v>1003</v>
      </c>
      <c r="C32" s="2">
        <f>Ausleihen!C32</f>
        <v>45330</v>
      </c>
      <c r="D32" s="2">
        <f>IF(Ausleihen!D32="","",Ausleihen!D32)</f>
        <v>45817</v>
      </c>
      <c r="E32" t="str">
        <f>INDEX(Geraete!$B$2:$B$36,MATCH($A32,Geraete!$A$2:$A$36,0))</f>
        <v>Drucker</v>
      </c>
      <c r="F32" t="str">
        <f>INDEX(Geraete!$C$2:$C$36,MATCH($A32,Geraete!$A$2:$A$36,0))</f>
        <v>Canon Pixma</v>
      </c>
      <c r="G32" s="2">
        <f>INDEX(Geraete!$D$2:$D$36,MATCH($A32,Geraete!$A$2:$A$36,0))</f>
        <v>45015</v>
      </c>
      <c r="H32">
        <f>INDEX(Geraete!$E$2:$E$36,MATCH($A32,Geraete!$A$2:$A$36,0))</f>
        <v>1501.06</v>
      </c>
      <c r="I32" t="str">
        <f>INDEX(Geraete!$F$2:$F$36,MATCH($A32,Geraete!$A$2:$A$36,0))</f>
        <v>Berlin</v>
      </c>
      <c r="J32" t="str">
        <f>INDEX(Mitarbeiter!$B$2:$B$13,MATCH($B32,Mitarbeiter!$A$2:$A$13,0))</f>
        <v>Paul Dobes-Stiffel</v>
      </c>
      <c r="K32" t="str">
        <f>INDEX(Mitarbeiter!$C$2:$C$13,MATCH($B32,Mitarbeiter!$A$2:$A$13,0))</f>
        <v>Produktion</v>
      </c>
      <c r="L32" t="str">
        <f>INDEX(Mitarbeiter!$D$2:$D$13,MATCH($B32,Mitarbeiter!$A$2:$A$13,0))</f>
        <v>Hamburg</v>
      </c>
    </row>
    <row r="33" spans="1:12" x14ac:dyDescent="0.2">
      <c r="A33" t="str">
        <f>Ausleihen!A33</f>
        <v>G0031</v>
      </c>
      <c r="B33">
        <f>Ausleihen!B33</f>
        <v>1004</v>
      </c>
      <c r="C33" s="2">
        <f>Ausleihen!C33</f>
        <v>45336</v>
      </c>
      <c r="D33" s="2" t="str">
        <f>IF(Ausleihen!D33="","",Ausleihen!D33)</f>
        <v/>
      </c>
      <c r="E33" t="str">
        <f>INDEX(Geraete!$B$2:$B$36,MATCH($A33,Geraete!$A$2:$A$36,0))</f>
        <v>Laptop</v>
      </c>
      <c r="F33" t="str">
        <f>INDEX(Geraete!$C$2:$C$36,MATCH($A33,Geraete!$A$2:$A$36,0))</f>
        <v>HP EliteBook</v>
      </c>
      <c r="G33" s="2">
        <f>INDEX(Geraete!$D$2:$D$36,MATCH($A33,Geraete!$A$2:$A$36,0))</f>
        <v>45775</v>
      </c>
      <c r="H33">
        <f>INDEX(Geraete!$E$2:$E$36,MATCH($A33,Geraete!$A$2:$A$36,0))</f>
        <v>1095.6199999999999</v>
      </c>
      <c r="I33" t="str">
        <f>INDEX(Geraete!$F$2:$F$36,MATCH($A33,Geraete!$A$2:$A$36,0))</f>
        <v>München</v>
      </c>
      <c r="J33" t="str">
        <f>INDEX(Mitarbeiter!$B$2:$B$13,MATCH($B33,Mitarbeiter!$A$2:$A$13,0))</f>
        <v>Klemens Löffler</v>
      </c>
      <c r="K33" t="str">
        <f>INDEX(Mitarbeiter!$C$2:$C$13,MATCH($B33,Mitarbeiter!$A$2:$A$13,0))</f>
        <v>Vertrieb</v>
      </c>
      <c r="L33" t="str">
        <f>INDEX(Mitarbeiter!$D$2:$D$13,MATCH($B33,Mitarbeiter!$A$2:$A$13,0))</f>
        <v>Hamburg</v>
      </c>
    </row>
    <row r="34" spans="1:12" x14ac:dyDescent="0.2">
      <c r="A34" t="str">
        <f>Ausleihen!A34</f>
        <v>G0004</v>
      </c>
      <c r="B34">
        <f>Ausleihen!B34</f>
        <v>1003</v>
      </c>
      <c r="C34" s="2">
        <f>Ausleihen!C34</f>
        <v>45827</v>
      </c>
      <c r="D34" s="2">
        <f>IF(Ausleihen!D34="","",Ausleihen!D34)</f>
        <v>45908</v>
      </c>
      <c r="E34" t="str">
        <f>INDEX(Geraete!$B$2:$B$36,MATCH($A34,Geraete!$A$2:$A$36,0))</f>
        <v>Laptop</v>
      </c>
      <c r="F34" t="str">
        <f>INDEX(Geraete!$C$2:$C$36,MATCH($A34,Geraete!$A$2:$A$36,0))</f>
        <v>Dell XPS</v>
      </c>
      <c r="G34" s="2">
        <f>INDEX(Geraete!$D$2:$D$36,MATCH($A34,Geraete!$A$2:$A$36,0))</f>
        <v>45782</v>
      </c>
      <c r="H34">
        <f>INDEX(Geraete!$E$2:$E$36,MATCH($A34,Geraete!$A$2:$A$36,0))</f>
        <v>1007.88</v>
      </c>
      <c r="I34" t="str">
        <f>INDEX(Geraete!$F$2:$F$36,MATCH($A34,Geraete!$A$2:$A$36,0))</f>
        <v>München</v>
      </c>
      <c r="J34" t="str">
        <f>INDEX(Mitarbeiter!$B$2:$B$13,MATCH($B34,Mitarbeiter!$A$2:$A$13,0))</f>
        <v>Paul Dobes-Stiffel</v>
      </c>
      <c r="K34" t="str">
        <f>INDEX(Mitarbeiter!$C$2:$C$13,MATCH($B34,Mitarbeiter!$A$2:$A$13,0))</f>
        <v>Produktion</v>
      </c>
      <c r="L34" t="str">
        <f>INDEX(Mitarbeiter!$D$2:$D$13,MATCH($B34,Mitarbeiter!$A$2:$A$13,0))</f>
        <v>Hamburg</v>
      </c>
    </row>
    <row r="35" spans="1:12" x14ac:dyDescent="0.2">
      <c r="A35" t="str">
        <f>Ausleihen!A35</f>
        <v>G0025</v>
      </c>
      <c r="B35">
        <f>Ausleihen!B35</f>
        <v>1005</v>
      </c>
      <c r="C35" s="2">
        <f>Ausleihen!C35</f>
        <v>45675</v>
      </c>
      <c r="D35" s="2" t="str">
        <f>IF(Ausleihen!D35="","",Ausleihen!D35)</f>
        <v/>
      </c>
      <c r="E35" t="str">
        <f>INDEX(Geraete!$B$2:$B$36,MATCH($A35,Geraete!$A$2:$A$36,0))</f>
        <v>Beamer</v>
      </c>
      <c r="F35" t="str">
        <f>INDEX(Geraete!$C$2:$C$36,MATCH($A35,Geraete!$A$2:$A$36,0))</f>
        <v>Epson EB</v>
      </c>
      <c r="G35" s="2">
        <f>INDEX(Geraete!$D$2:$D$36,MATCH($A35,Geraete!$A$2:$A$36,0))</f>
        <v>45266</v>
      </c>
      <c r="H35">
        <f>INDEX(Geraete!$E$2:$E$36,MATCH($A35,Geraete!$A$2:$A$36,0))</f>
        <v>545.46</v>
      </c>
      <c r="I35" t="str">
        <f>INDEX(Geraete!$F$2:$F$36,MATCH($A35,Geraete!$A$2:$A$36,0))</f>
        <v>Berlin</v>
      </c>
      <c r="J35" t="str">
        <f>INDEX(Mitarbeiter!$B$2:$B$13,MATCH($B35,Mitarbeiter!$A$2:$A$13,0))</f>
        <v>Alexandre Davids</v>
      </c>
      <c r="K35" t="str">
        <f>INDEX(Mitarbeiter!$C$2:$C$13,MATCH($B35,Mitarbeiter!$A$2:$A$13,0))</f>
        <v>Vertrieb</v>
      </c>
      <c r="L35" t="str">
        <f>INDEX(Mitarbeiter!$D$2:$D$13,MATCH($B35,Mitarbeiter!$A$2:$A$13,0))</f>
        <v>Berlin</v>
      </c>
    </row>
    <row r="36" spans="1:12" x14ac:dyDescent="0.2">
      <c r="A36" t="str">
        <f>Ausleihen!A36</f>
        <v>G0030</v>
      </c>
      <c r="B36">
        <f>Ausleihen!B36</f>
        <v>1005</v>
      </c>
      <c r="C36" s="2">
        <f>Ausleihen!C36</f>
        <v>45261</v>
      </c>
      <c r="D36" s="2">
        <f>IF(Ausleihen!D36="","",Ausleihen!D36)</f>
        <v>45559</v>
      </c>
      <c r="E36" t="str">
        <f>INDEX(Geraete!$B$2:$B$36,MATCH($A36,Geraete!$A$2:$A$36,0))</f>
        <v>Beamer</v>
      </c>
      <c r="F36" t="str">
        <f>INDEX(Geraete!$C$2:$C$36,MATCH($A36,Geraete!$A$2:$A$36,0))</f>
        <v>Epson EB</v>
      </c>
      <c r="G36" s="2">
        <f>INDEX(Geraete!$D$2:$D$36,MATCH($A36,Geraete!$A$2:$A$36,0))</f>
        <v>44647</v>
      </c>
      <c r="H36">
        <f>INDEX(Geraete!$E$2:$E$36,MATCH($A36,Geraete!$A$2:$A$36,0))</f>
        <v>1629.76</v>
      </c>
      <c r="I36" t="str">
        <f>INDEX(Geraete!$F$2:$F$36,MATCH($A36,Geraete!$A$2:$A$36,0))</f>
        <v>München</v>
      </c>
      <c r="J36" t="str">
        <f>INDEX(Mitarbeiter!$B$2:$B$13,MATCH($B36,Mitarbeiter!$A$2:$A$13,0))</f>
        <v>Alexandre Davids</v>
      </c>
      <c r="K36" t="str">
        <f>INDEX(Mitarbeiter!$C$2:$C$13,MATCH($B36,Mitarbeiter!$A$2:$A$13,0))</f>
        <v>Vertrieb</v>
      </c>
      <c r="L36" t="str">
        <f>INDEX(Mitarbeiter!$D$2:$D$13,MATCH($B36,Mitarbeiter!$A$2:$A$13,0))</f>
        <v>Berlin</v>
      </c>
    </row>
    <row r="37" spans="1:12" x14ac:dyDescent="0.2">
      <c r="A37" t="str">
        <f>Ausleihen!A37</f>
        <v>G0032</v>
      </c>
      <c r="B37">
        <f>Ausleihen!B37</f>
        <v>1003</v>
      </c>
      <c r="C37" s="2">
        <f>Ausleihen!C37</f>
        <v>45508</v>
      </c>
      <c r="D37" s="2">
        <f>IF(Ausleihen!D37="","",Ausleihen!D37)</f>
        <v>45871</v>
      </c>
      <c r="E37" t="str">
        <f>INDEX(Geraete!$B$2:$B$36,MATCH($A37,Geraete!$A$2:$A$36,0))</f>
        <v>Laptop</v>
      </c>
      <c r="F37" t="str">
        <f>INDEX(Geraete!$C$2:$C$36,MATCH($A37,Geraete!$A$2:$A$36,0))</f>
        <v>Lenovo ThinkPad</v>
      </c>
      <c r="G37" s="2">
        <f>INDEX(Geraete!$D$2:$D$36,MATCH($A37,Geraete!$A$2:$A$36,0))</f>
        <v>44876</v>
      </c>
      <c r="H37">
        <f>INDEX(Geraete!$E$2:$E$36,MATCH($A37,Geraete!$A$2:$A$36,0))</f>
        <v>1801.36</v>
      </c>
      <c r="I37" t="str">
        <f>INDEX(Geraete!$F$2:$F$36,MATCH($A37,Geraete!$A$2:$A$36,0))</f>
        <v>München</v>
      </c>
      <c r="J37" t="str">
        <f>INDEX(Mitarbeiter!$B$2:$B$13,MATCH($B37,Mitarbeiter!$A$2:$A$13,0))</f>
        <v>Paul Dobes-Stiffel</v>
      </c>
      <c r="K37" t="str">
        <f>INDEX(Mitarbeiter!$C$2:$C$13,MATCH($B37,Mitarbeiter!$A$2:$A$13,0))</f>
        <v>Produktion</v>
      </c>
      <c r="L37" t="str">
        <f>INDEX(Mitarbeiter!$D$2:$D$13,MATCH($B37,Mitarbeiter!$A$2:$A$13,0))</f>
        <v>Hamburg</v>
      </c>
    </row>
    <row r="38" spans="1:12" x14ac:dyDescent="0.2">
      <c r="A38" t="str">
        <f>Ausleihen!A38</f>
        <v>G0014</v>
      </c>
      <c r="B38">
        <f>Ausleihen!B38</f>
        <v>1001</v>
      </c>
      <c r="C38" s="2">
        <f>Ausleihen!C38</f>
        <v>45622</v>
      </c>
      <c r="D38" s="2">
        <f>IF(Ausleihen!D38="","",Ausleihen!D38)</f>
        <v>45719</v>
      </c>
      <c r="E38" t="str">
        <f>INDEX(Geraete!$B$2:$B$36,MATCH($A38,Geraete!$A$2:$A$36,0))</f>
        <v>Laptop</v>
      </c>
      <c r="F38" t="str">
        <f>INDEX(Geraete!$C$2:$C$36,MATCH($A38,Geraete!$A$2:$A$36,0))</f>
        <v>Lenovo ThinkPad</v>
      </c>
      <c r="G38" s="2">
        <f>INDEX(Geraete!$D$2:$D$36,MATCH($A38,Geraete!$A$2:$A$36,0))</f>
        <v>44258</v>
      </c>
      <c r="H38">
        <f>INDEX(Geraete!$E$2:$E$36,MATCH($A38,Geraete!$A$2:$A$36,0))</f>
        <v>1415.97</v>
      </c>
      <c r="I38" t="str">
        <f>INDEX(Geraete!$F$2:$F$36,MATCH($A38,Geraete!$A$2:$A$36,0))</f>
        <v>Hamburg</v>
      </c>
      <c r="J38" t="str">
        <f>INDEX(Mitarbeiter!$B$2:$B$13,MATCH($B38,Mitarbeiter!$A$2:$A$13,0))</f>
        <v>Aleksandr Weinhage</v>
      </c>
      <c r="K38" t="str">
        <f>INDEX(Mitarbeiter!$C$2:$C$13,MATCH($B38,Mitarbeiter!$A$2:$A$13,0))</f>
        <v>IT</v>
      </c>
      <c r="L38" t="str">
        <f>INDEX(Mitarbeiter!$D$2:$D$13,MATCH($B38,Mitarbeiter!$A$2:$A$13,0))</f>
        <v>Berlin</v>
      </c>
    </row>
    <row r="39" spans="1:12" x14ac:dyDescent="0.2">
      <c r="A39" t="str">
        <f>Ausleihen!A39</f>
        <v>G0035</v>
      </c>
      <c r="B39">
        <f>Ausleihen!B39</f>
        <v>1001</v>
      </c>
      <c r="C39" s="2">
        <f>Ausleihen!C39</f>
        <v>45641</v>
      </c>
      <c r="D39" s="2" t="str">
        <f>IF(Ausleihen!D39="","",Ausleihen!D39)</f>
        <v/>
      </c>
      <c r="E39" t="str">
        <f>INDEX(Geraete!$B$2:$B$36,MATCH($A39,Geraete!$A$2:$A$36,0))</f>
        <v>Beamer</v>
      </c>
      <c r="F39" t="str">
        <f>INDEX(Geraete!$C$2:$C$36,MATCH($A39,Geraete!$A$2:$A$36,0))</f>
        <v>BenQ MW550</v>
      </c>
      <c r="G39" s="2">
        <f>INDEX(Geraete!$D$2:$D$36,MATCH($A39,Geraete!$A$2:$A$36,0))</f>
        <v>45294</v>
      </c>
      <c r="H39">
        <f>INDEX(Geraete!$E$2:$E$36,MATCH($A39,Geraete!$A$2:$A$36,0))</f>
        <v>644.54</v>
      </c>
      <c r="I39" t="str">
        <f>INDEX(Geraete!$F$2:$F$36,MATCH($A39,Geraete!$A$2:$A$36,0))</f>
        <v>Berlin</v>
      </c>
      <c r="J39" t="str">
        <f>INDEX(Mitarbeiter!$B$2:$B$13,MATCH($B39,Mitarbeiter!$A$2:$A$13,0))</f>
        <v>Aleksandr Weinhage</v>
      </c>
      <c r="K39" t="str">
        <f>INDEX(Mitarbeiter!$C$2:$C$13,MATCH($B39,Mitarbeiter!$A$2:$A$13,0))</f>
        <v>IT</v>
      </c>
      <c r="L39" t="str">
        <f>INDEX(Mitarbeiter!$D$2:$D$13,MATCH($B39,Mitarbeiter!$A$2:$A$13,0))</f>
        <v>Berlin</v>
      </c>
    </row>
    <row r="40" spans="1:12" x14ac:dyDescent="0.2">
      <c r="A40" t="str">
        <f>Ausleihen!A40</f>
        <v>G0004</v>
      </c>
      <c r="B40">
        <f>Ausleihen!B40</f>
        <v>1001</v>
      </c>
      <c r="C40" s="2">
        <f>Ausleihen!C40</f>
        <v>45880</v>
      </c>
      <c r="D40" s="2">
        <f>IF(Ausleihen!D40="","",Ausleihen!D40)</f>
        <v>45881</v>
      </c>
      <c r="E40" t="str">
        <f>INDEX(Geraete!$B$2:$B$36,MATCH($A40,Geraete!$A$2:$A$36,0))</f>
        <v>Laptop</v>
      </c>
      <c r="F40" t="str">
        <f>INDEX(Geraete!$C$2:$C$36,MATCH($A40,Geraete!$A$2:$A$36,0))</f>
        <v>Dell XPS</v>
      </c>
      <c r="G40" s="2">
        <f>INDEX(Geraete!$D$2:$D$36,MATCH($A40,Geraete!$A$2:$A$36,0))</f>
        <v>45782</v>
      </c>
      <c r="H40">
        <f>INDEX(Geraete!$E$2:$E$36,MATCH($A40,Geraete!$A$2:$A$36,0))</f>
        <v>1007.88</v>
      </c>
      <c r="I40" t="str">
        <f>INDEX(Geraete!$F$2:$F$36,MATCH($A40,Geraete!$A$2:$A$36,0))</f>
        <v>München</v>
      </c>
      <c r="J40" t="str">
        <f>INDEX(Mitarbeiter!$B$2:$B$13,MATCH($B40,Mitarbeiter!$A$2:$A$13,0))</f>
        <v>Aleksandr Weinhage</v>
      </c>
      <c r="K40" t="str">
        <f>INDEX(Mitarbeiter!$C$2:$C$13,MATCH($B40,Mitarbeiter!$A$2:$A$13,0))</f>
        <v>IT</v>
      </c>
      <c r="L40" t="str">
        <f>INDEX(Mitarbeiter!$D$2:$D$13,MATCH($B40,Mitarbeiter!$A$2:$A$13,0))</f>
        <v>Berlin</v>
      </c>
    </row>
    <row r="41" spans="1:12" x14ac:dyDescent="0.2">
      <c r="A41" t="str">
        <f>Ausleihen!A41</f>
        <v>G0033</v>
      </c>
      <c r="B41">
        <f>Ausleihen!B41</f>
        <v>1009</v>
      </c>
      <c r="C41" s="2">
        <f>Ausleihen!C41</f>
        <v>45740</v>
      </c>
      <c r="D41" s="2">
        <f>IF(Ausleihen!D41="","",Ausleihen!D41)</f>
        <v>45784</v>
      </c>
      <c r="E41" t="str">
        <f>INDEX(Geraete!$B$2:$B$36,MATCH($A41,Geraete!$A$2:$A$36,0))</f>
        <v>Beamer</v>
      </c>
      <c r="F41" t="str">
        <f>INDEX(Geraete!$C$2:$C$36,MATCH($A41,Geraete!$A$2:$A$36,0))</f>
        <v>BenQ MW550</v>
      </c>
      <c r="G41" s="2">
        <f>INDEX(Geraete!$D$2:$D$36,MATCH($A41,Geraete!$A$2:$A$36,0))</f>
        <v>44623</v>
      </c>
      <c r="H41">
        <f>INDEX(Geraete!$E$2:$E$36,MATCH($A41,Geraete!$A$2:$A$36,0))</f>
        <v>1212.29</v>
      </c>
      <c r="I41" t="str">
        <f>INDEX(Geraete!$F$2:$F$36,MATCH($A41,Geraete!$A$2:$A$36,0))</f>
        <v>Berlin</v>
      </c>
      <c r="J41" t="str">
        <f>INDEX(Mitarbeiter!$B$2:$B$13,MATCH($B41,Mitarbeiter!$A$2:$A$13,0))</f>
        <v>Univ.Prof. Heimo Karge</v>
      </c>
      <c r="K41" t="str">
        <f>INDEX(Mitarbeiter!$C$2:$C$13,MATCH($B41,Mitarbeiter!$A$2:$A$13,0))</f>
        <v>Marketing</v>
      </c>
      <c r="L41" t="str">
        <f>INDEX(Mitarbeiter!$D$2:$D$13,MATCH($B41,Mitarbeiter!$A$2:$A$13,0))</f>
        <v>Hamburg</v>
      </c>
    </row>
    <row r="42" spans="1:12" x14ac:dyDescent="0.2">
      <c r="A42" t="str">
        <f>Ausleihen!A42</f>
        <v>G0033</v>
      </c>
      <c r="B42">
        <f>Ausleihen!B42</f>
        <v>1002</v>
      </c>
      <c r="C42" s="2">
        <f>Ausleihen!C42</f>
        <v>45741</v>
      </c>
      <c r="D42" s="2" t="str">
        <f>IF(Ausleihen!D42="","",Ausleihen!D42)</f>
        <v/>
      </c>
      <c r="E42" t="str">
        <f>INDEX(Geraete!$B$2:$B$36,MATCH($A42,Geraete!$A$2:$A$36,0))</f>
        <v>Beamer</v>
      </c>
      <c r="F42" t="str">
        <f>INDEX(Geraete!$C$2:$C$36,MATCH($A42,Geraete!$A$2:$A$36,0))</f>
        <v>BenQ MW550</v>
      </c>
      <c r="G42" s="2">
        <f>INDEX(Geraete!$D$2:$D$36,MATCH($A42,Geraete!$A$2:$A$36,0))</f>
        <v>44623</v>
      </c>
      <c r="H42">
        <f>INDEX(Geraete!$E$2:$E$36,MATCH($A42,Geraete!$A$2:$A$36,0))</f>
        <v>1212.29</v>
      </c>
      <c r="I42" t="str">
        <f>INDEX(Geraete!$F$2:$F$36,MATCH($A42,Geraete!$A$2:$A$36,0))</f>
        <v>Berlin</v>
      </c>
      <c r="J42" t="str">
        <f>INDEX(Mitarbeiter!$B$2:$B$13,MATCH($B42,Mitarbeiter!$A$2:$A$13,0))</f>
        <v>Eleni Hauffer</v>
      </c>
      <c r="K42" t="str">
        <f>INDEX(Mitarbeiter!$C$2:$C$13,MATCH($B42,Mitarbeiter!$A$2:$A$13,0))</f>
        <v>IT</v>
      </c>
      <c r="L42" t="str">
        <f>INDEX(Mitarbeiter!$D$2:$D$13,MATCH($B42,Mitarbeiter!$A$2:$A$13,0))</f>
        <v>Berlin</v>
      </c>
    </row>
    <row r="43" spans="1:12" x14ac:dyDescent="0.2">
      <c r="A43" t="str">
        <f>Ausleihen!A43</f>
        <v>G0005</v>
      </c>
      <c r="B43">
        <f>Ausleihen!B43</f>
        <v>1010</v>
      </c>
      <c r="C43" s="2">
        <f>Ausleihen!C43</f>
        <v>45899</v>
      </c>
      <c r="D43" s="2">
        <f>IF(Ausleihen!D43="","",Ausleihen!D43)</f>
        <v>45925</v>
      </c>
      <c r="E43" t="str">
        <f>INDEX(Geraete!$B$2:$B$36,MATCH($A43,Geraete!$A$2:$A$36,0))</f>
        <v>Drucker</v>
      </c>
      <c r="F43" t="str">
        <f>INDEX(Geraete!$C$2:$C$36,MATCH($A43,Geraete!$A$2:$A$36,0))</f>
        <v>Canon Pixma</v>
      </c>
      <c r="G43" s="2">
        <f>INDEX(Geraete!$D$2:$D$36,MATCH($A43,Geraete!$A$2:$A$36,0))</f>
        <v>44503</v>
      </c>
      <c r="H43">
        <f>INDEX(Geraete!$E$2:$E$36,MATCH($A43,Geraete!$A$2:$A$36,0))</f>
        <v>823.23</v>
      </c>
      <c r="I43" t="str">
        <f>INDEX(Geraete!$F$2:$F$36,MATCH($A43,Geraete!$A$2:$A$36,0))</f>
        <v>Berlin</v>
      </c>
      <c r="J43" t="str">
        <f>INDEX(Mitarbeiter!$B$2:$B$13,MATCH($B43,Mitarbeiter!$A$2:$A$13,0))</f>
        <v>Carolin Hande</v>
      </c>
      <c r="K43" t="str">
        <f>INDEX(Mitarbeiter!$C$2:$C$13,MATCH($B43,Mitarbeiter!$A$2:$A$13,0))</f>
        <v>IT</v>
      </c>
      <c r="L43" t="str">
        <f>INDEX(Mitarbeiter!$D$2:$D$13,MATCH($B43,Mitarbeiter!$A$2:$A$13,0))</f>
        <v>Hamburg</v>
      </c>
    </row>
    <row r="44" spans="1:12" x14ac:dyDescent="0.2">
      <c r="A44" t="str">
        <f>Ausleihen!A44</f>
        <v>G0016</v>
      </c>
      <c r="B44">
        <f>Ausleihen!B44</f>
        <v>1007</v>
      </c>
      <c r="C44" s="2">
        <f>Ausleihen!C44</f>
        <v>45795</v>
      </c>
      <c r="D44" s="2">
        <f>IF(Ausleihen!D44="","",Ausleihen!D44)</f>
        <v>45846</v>
      </c>
      <c r="E44" t="str">
        <f>INDEX(Geraete!$B$2:$B$36,MATCH($A44,Geraete!$A$2:$A$36,0))</f>
        <v>Drucker</v>
      </c>
      <c r="F44" t="str">
        <f>INDEX(Geraete!$C$2:$C$36,MATCH($A44,Geraete!$A$2:$A$36,0))</f>
        <v>Canon Pixma</v>
      </c>
      <c r="G44" s="2">
        <f>INDEX(Geraete!$D$2:$D$36,MATCH($A44,Geraete!$A$2:$A$36,0))</f>
        <v>45015</v>
      </c>
      <c r="H44">
        <f>INDEX(Geraete!$E$2:$E$36,MATCH($A44,Geraete!$A$2:$A$36,0))</f>
        <v>1501.06</v>
      </c>
      <c r="I44" t="str">
        <f>INDEX(Geraete!$F$2:$F$36,MATCH($A44,Geraete!$A$2:$A$36,0))</f>
        <v>Berlin</v>
      </c>
      <c r="J44" t="str">
        <f>INDEX(Mitarbeiter!$B$2:$B$13,MATCH($B44,Mitarbeiter!$A$2:$A$13,0))</f>
        <v>Orhan Siering MBA.</v>
      </c>
      <c r="K44" t="str">
        <f>INDEX(Mitarbeiter!$C$2:$C$13,MATCH($B44,Mitarbeiter!$A$2:$A$13,0))</f>
        <v>IT</v>
      </c>
      <c r="L44" t="str">
        <f>INDEX(Mitarbeiter!$D$2:$D$13,MATCH($B44,Mitarbeiter!$A$2:$A$13,0))</f>
        <v>Berlin</v>
      </c>
    </row>
    <row r="45" spans="1:12" x14ac:dyDescent="0.2">
      <c r="A45" t="str">
        <f>Ausleihen!A45</f>
        <v>G0016</v>
      </c>
      <c r="B45">
        <f>Ausleihen!B45</f>
        <v>1010</v>
      </c>
      <c r="C45" s="2">
        <f>Ausleihen!C45</f>
        <v>45808</v>
      </c>
      <c r="D45" s="2">
        <f>IF(Ausleihen!D45="","",Ausleihen!D45)</f>
        <v>45932</v>
      </c>
      <c r="E45" t="str">
        <f>INDEX(Geraete!$B$2:$B$36,MATCH($A45,Geraete!$A$2:$A$36,0))</f>
        <v>Drucker</v>
      </c>
      <c r="F45" t="str">
        <f>INDEX(Geraete!$C$2:$C$36,MATCH($A45,Geraete!$A$2:$A$36,0))</f>
        <v>Canon Pixma</v>
      </c>
      <c r="G45" s="2">
        <f>INDEX(Geraete!$D$2:$D$36,MATCH($A45,Geraete!$A$2:$A$36,0))</f>
        <v>45015</v>
      </c>
      <c r="H45">
        <f>INDEX(Geraete!$E$2:$E$36,MATCH($A45,Geraete!$A$2:$A$36,0))</f>
        <v>1501.06</v>
      </c>
      <c r="I45" t="str">
        <f>INDEX(Geraete!$F$2:$F$36,MATCH($A45,Geraete!$A$2:$A$36,0))</f>
        <v>Berlin</v>
      </c>
      <c r="J45" t="str">
        <f>INDEX(Mitarbeiter!$B$2:$B$13,MATCH($B45,Mitarbeiter!$A$2:$A$13,0))</f>
        <v>Carolin Hande</v>
      </c>
      <c r="K45" t="str">
        <f>INDEX(Mitarbeiter!$C$2:$C$13,MATCH($B45,Mitarbeiter!$A$2:$A$13,0))</f>
        <v>IT</v>
      </c>
      <c r="L45" t="str">
        <f>INDEX(Mitarbeiter!$D$2:$D$13,MATCH($B45,Mitarbeiter!$A$2:$A$13,0))</f>
        <v>Hamburg</v>
      </c>
    </row>
    <row r="46" spans="1:12" x14ac:dyDescent="0.2">
      <c r="A46" t="str">
        <f>Ausleihen!A46</f>
        <v>G0006</v>
      </c>
      <c r="B46">
        <f>Ausleihen!B46</f>
        <v>1007</v>
      </c>
      <c r="C46" s="2">
        <f>Ausleihen!C46</f>
        <v>45476</v>
      </c>
      <c r="D46" s="2" t="str">
        <f>IF(Ausleihen!D46="","",Ausleihen!D46)</f>
        <v/>
      </c>
      <c r="E46" t="str">
        <f>INDEX(Geraete!$B$2:$B$36,MATCH($A46,Geraete!$A$2:$A$36,0))</f>
        <v>Smartphone</v>
      </c>
      <c r="F46" t="str">
        <f>INDEX(Geraete!$C$2:$C$36,MATCH($A46,Geraete!$A$2:$A$36,0))</f>
        <v>Samsung S21</v>
      </c>
      <c r="G46" s="2">
        <f>INDEX(Geraete!$D$2:$D$36,MATCH($A46,Geraete!$A$2:$A$36,0))</f>
        <v>45292</v>
      </c>
      <c r="H46">
        <f>INDEX(Geraete!$E$2:$E$36,MATCH($A46,Geraete!$A$2:$A$36,0))</f>
        <v>1257.96</v>
      </c>
      <c r="I46" t="str">
        <f>INDEX(Geraete!$F$2:$F$36,MATCH($A46,Geraete!$A$2:$A$36,0))</f>
        <v>München</v>
      </c>
      <c r="J46" t="str">
        <f>INDEX(Mitarbeiter!$B$2:$B$13,MATCH($B46,Mitarbeiter!$A$2:$A$13,0))</f>
        <v>Orhan Siering MBA.</v>
      </c>
      <c r="K46" t="str">
        <f>INDEX(Mitarbeiter!$C$2:$C$13,MATCH($B46,Mitarbeiter!$A$2:$A$13,0))</f>
        <v>IT</v>
      </c>
      <c r="L46" t="str">
        <f>INDEX(Mitarbeiter!$D$2:$D$13,MATCH($B46,Mitarbeiter!$A$2:$A$13,0))</f>
        <v>Berlin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topLeftCell="E2" zoomScale="200" workbookViewId="0">
      <selection activeCell="H8" sqref="H8"/>
    </sheetView>
  </sheetViews>
  <sheetFormatPr baseColWidth="10" defaultColWidth="8.83203125" defaultRowHeight="15" x14ac:dyDescent="0.2"/>
  <cols>
    <col min="1" max="1" width="14" customWidth="1"/>
    <col min="2" max="2" width="13" customWidth="1"/>
    <col min="3" max="3" width="18" customWidth="1"/>
    <col min="4" max="4" width="16" customWidth="1"/>
    <col min="5" max="5" width="17" customWidth="1"/>
    <col min="6" max="6" width="18" customWidth="1"/>
    <col min="8" max="8" width="28" customWidth="1"/>
    <col min="9" max="9" width="1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88</v>
      </c>
      <c r="F1" s="1" t="s">
        <v>89</v>
      </c>
      <c r="H1" s="1" t="s">
        <v>90</v>
      </c>
    </row>
    <row r="2" spans="1:9" x14ac:dyDescent="0.2">
      <c r="A2" t="str">
        <f>Geraete!A2</f>
        <v>G0001</v>
      </c>
      <c r="B2" t="str">
        <f>Geraete!B2</f>
        <v>Tablet</v>
      </c>
      <c r="C2" t="str">
        <f>Geraete!C2</f>
        <v>Galaxy Tab</v>
      </c>
      <c r="D2">
        <f>Geraete!E2</f>
        <v>1342.83</v>
      </c>
      <c r="E2">
        <f>COUNTIFS(Ausleihen!$A$2:$A$46,A2,Ausleihen!$D$2:$D$46,"")</f>
        <v>0</v>
      </c>
      <c r="F2" t="str">
        <f t="shared" ref="F2:F36" si="0">IF(E2&gt;0,"im Einsatz","nicht im Einsatz")</f>
        <v>nicht im Einsatz</v>
      </c>
      <c r="H2" t="s">
        <v>91</v>
      </c>
      <c r="I2">
        <f>COUNTIF(F2:F36,"nicht im Einsatz")</f>
        <v>24</v>
      </c>
    </row>
    <row r="3" spans="1:9" x14ac:dyDescent="0.2">
      <c r="A3" t="str">
        <f>Geraete!A3</f>
        <v>G0002</v>
      </c>
      <c r="B3" t="str">
        <f>Geraete!B3</f>
        <v>Tablet</v>
      </c>
      <c r="C3" t="str">
        <f>Geraete!C3</f>
        <v>Surface Go</v>
      </c>
      <c r="D3">
        <f>Geraete!E3</f>
        <v>1076.18</v>
      </c>
      <c r="E3">
        <f>COUNTIFS(Ausleihen!$A$2:$A$46,A3,Ausleihen!$D$2:$D$46,"")</f>
        <v>0</v>
      </c>
      <c r="F3" t="str">
        <f t="shared" si="0"/>
        <v>nicht im Einsatz</v>
      </c>
      <c r="H3" t="s">
        <v>92</v>
      </c>
      <c r="I3" s="5">
        <f>SUMIF(F2:F36,"nicht im Einsatz",D2:D36)</f>
        <v>33239.1</v>
      </c>
    </row>
    <row r="4" spans="1:9" x14ac:dyDescent="0.2">
      <c r="A4" t="str">
        <f>Geraete!A4</f>
        <v>G0003</v>
      </c>
      <c r="B4" t="str">
        <f>Geraete!B4</f>
        <v>Tablet</v>
      </c>
      <c r="C4" t="str">
        <f>Geraete!C4</f>
        <v>iPad</v>
      </c>
      <c r="D4">
        <f>Geraete!E4</f>
        <v>1931.54</v>
      </c>
      <c r="E4">
        <f>COUNTIFS(Ausleihen!$A$2:$A$46,A4,Ausleihen!$D$2:$D$46,"")</f>
        <v>0</v>
      </c>
      <c r="F4" t="str">
        <f t="shared" si="0"/>
        <v>nicht im Einsatz</v>
      </c>
      <c r="H4" t="s">
        <v>93</v>
      </c>
      <c r="I4">
        <f>COUNTIF(F2:F36,"im Einsatz")</f>
        <v>11</v>
      </c>
    </row>
    <row r="5" spans="1:9" x14ac:dyDescent="0.2">
      <c r="A5" t="str">
        <f>Geraete!A5</f>
        <v>G0004</v>
      </c>
      <c r="B5" t="str">
        <f>Geraete!B5</f>
        <v>Laptop</v>
      </c>
      <c r="C5" t="str">
        <f>Geraete!C5</f>
        <v>Dell XPS</v>
      </c>
      <c r="D5">
        <f>Geraete!E5</f>
        <v>1007.88</v>
      </c>
      <c r="E5">
        <f>COUNTIFS(Ausleihen!$A$2:$A$46,A5,Ausleihen!$D$2:$D$46,"")</f>
        <v>0</v>
      </c>
      <c r="F5" t="str">
        <f t="shared" si="0"/>
        <v>nicht im Einsatz</v>
      </c>
      <c r="H5" t="s">
        <v>94</v>
      </c>
      <c r="I5" s="6">
        <f>SUMIF(F2:F36,"im Einsatz",D2:D36)</f>
        <v>10608.18</v>
      </c>
    </row>
    <row r="6" spans="1:9" x14ac:dyDescent="0.2">
      <c r="A6" t="str">
        <f>Geraete!A6</f>
        <v>G0005</v>
      </c>
      <c r="B6" t="str">
        <f>Geraete!B6</f>
        <v>Drucker</v>
      </c>
      <c r="C6" t="str">
        <f>Geraete!C6</f>
        <v>Canon Pixma</v>
      </c>
      <c r="D6">
        <f>Geraete!E6</f>
        <v>823.23</v>
      </c>
      <c r="E6">
        <f>COUNTIFS(Ausleihen!$A$2:$A$46,A6,Ausleihen!$D$2:$D$46,"")</f>
        <v>2</v>
      </c>
      <c r="F6" t="str">
        <f t="shared" si="0"/>
        <v>im Einsatz</v>
      </c>
    </row>
    <row r="7" spans="1:9" x14ac:dyDescent="0.2">
      <c r="A7" t="str">
        <f>Geraete!A7</f>
        <v>G0006</v>
      </c>
      <c r="B7" t="str">
        <f>Geraete!B7</f>
        <v>Smartphone</v>
      </c>
      <c r="C7" t="str">
        <f>Geraete!C7</f>
        <v>Samsung S21</v>
      </c>
      <c r="D7">
        <f>Geraete!E7</f>
        <v>1257.96</v>
      </c>
      <c r="E7">
        <f>COUNTIFS(Ausleihen!$A$2:$A$46,A7,Ausleihen!$D$2:$D$46,"")</f>
        <v>1</v>
      </c>
      <c r="F7" t="str">
        <f t="shared" si="0"/>
        <v>im Einsatz</v>
      </c>
      <c r="H7" s="1" t="s">
        <v>95</v>
      </c>
    </row>
    <row r="8" spans="1:9" x14ac:dyDescent="0.2">
      <c r="A8" t="str">
        <f>Geraete!A8</f>
        <v>G0007</v>
      </c>
      <c r="B8" t="str">
        <f>Geraete!B8</f>
        <v>Laptop</v>
      </c>
      <c r="C8" t="str">
        <f>Geraete!C8</f>
        <v>Lenovo ThinkPad</v>
      </c>
      <c r="D8">
        <f>Geraete!E8</f>
        <v>869.09</v>
      </c>
      <c r="E8">
        <f>COUNTIFS(Ausleihen!$A$2:$A$46,A8,Ausleihen!$D$2:$D$46,"")</f>
        <v>1</v>
      </c>
      <c r="F8" t="str">
        <f t="shared" si="0"/>
        <v>im Einsatz</v>
      </c>
      <c r="H8" t="s">
        <v>96</v>
      </c>
    </row>
    <row r="9" spans="1:9" x14ac:dyDescent="0.2">
      <c r="A9" t="str">
        <f>Geraete!A9</f>
        <v>G0008</v>
      </c>
      <c r="B9" t="str">
        <f>Geraete!B9</f>
        <v>Beamer</v>
      </c>
      <c r="C9" t="str">
        <f>Geraete!C9</f>
        <v>Epson EB</v>
      </c>
      <c r="D9">
        <f>Geraete!E9</f>
        <v>1323.76</v>
      </c>
      <c r="E9">
        <f>COUNTIFS(Ausleihen!$A$2:$A$46,A9,Ausleihen!$D$2:$D$46,"")</f>
        <v>0</v>
      </c>
      <c r="F9" t="str">
        <f t="shared" si="0"/>
        <v>nicht im Einsatz</v>
      </c>
      <c r="H9" t="s">
        <v>97</v>
      </c>
    </row>
    <row r="10" spans="1:9" x14ac:dyDescent="0.2">
      <c r="A10" t="str">
        <f>Geraete!A10</f>
        <v>G0009</v>
      </c>
      <c r="B10" t="str">
        <f>Geraete!B10</f>
        <v>Laptop</v>
      </c>
      <c r="C10" t="str">
        <f>Geraete!C10</f>
        <v>Dell XPS</v>
      </c>
      <c r="D10">
        <f>Geraete!E10</f>
        <v>1458.02</v>
      </c>
      <c r="E10">
        <f>COUNTIFS(Ausleihen!$A$2:$A$46,A10,Ausleihen!$D$2:$D$46,"")</f>
        <v>0</v>
      </c>
      <c r="F10" t="str">
        <f t="shared" si="0"/>
        <v>nicht im Einsatz</v>
      </c>
      <c r="H10" t="s">
        <v>98</v>
      </c>
    </row>
    <row r="11" spans="1:9" x14ac:dyDescent="0.2">
      <c r="A11" t="str">
        <f>Geraete!A11</f>
        <v>G0010</v>
      </c>
      <c r="B11" t="str">
        <f>Geraete!B11</f>
        <v>Laptop</v>
      </c>
      <c r="C11" t="str">
        <f>Geraete!C11</f>
        <v>Dell XPS</v>
      </c>
      <c r="D11">
        <f>Geraete!E11</f>
        <v>1786.37</v>
      </c>
      <c r="E11">
        <f>COUNTIFS(Ausleihen!$A$2:$A$46,A11,Ausleihen!$D$2:$D$46,"")</f>
        <v>0</v>
      </c>
      <c r="F11" t="str">
        <f t="shared" si="0"/>
        <v>nicht im Einsatz</v>
      </c>
      <c r="H11" t="s">
        <v>99</v>
      </c>
    </row>
    <row r="12" spans="1:9" x14ac:dyDescent="0.2">
      <c r="A12" t="str">
        <f>Geraete!A12</f>
        <v>G0011</v>
      </c>
      <c r="B12" t="str">
        <f>Geraete!B12</f>
        <v>Drucker</v>
      </c>
      <c r="C12" t="str">
        <f>Geraete!C12</f>
        <v>Brother HL</v>
      </c>
      <c r="D12">
        <f>Geraete!E12</f>
        <v>1417.1</v>
      </c>
      <c r="E12">
        <f>COUNTIFS(Ausleihen!$A$2:$A$46,A12,Ausleihen!$D$2:$D$46,"")</f>
        <v>0</v>
      </c>
      <c r="F12" t="str">
        <f t="shared" si="0"/>
        <v>nicht im Einsatz</v>
      </c>
      <c r="H12" t="s">
        <v>100</v>
      </c>
    </row>
    <row r="13" spans="1:9" x14ac:dyDescent="0.2">
      <c r="A13" t="str">
        <f>Geraete!A13</f>
        <v>G0012</v>
      </c>
      <c r="B13" t="str">
        <f>Geraete!B13</f>
        <v>Tablet</v>
      </c>
      <c r="C13" t="str">
        <f>Geraete!C13</f>
        <v>Galaxy Tab</v>
      </c>
      <c r="D13">
        <f>Geraete!E13</f>
        <v>968.43</v>
      </c>
      <c r="E13">
        <f>COUNTIFS(Ausleihen!$A$2:$A$46,A13,Ausleihen!$D$2:$D$46,"")</f>
        <v>0</v>
      </c>
      <c r="F13" t="str">
        <f t="shared" si="0"/>
        <v>nicht im Einsatz</v>
      </c>
    </row>
    <row r="14" spans="1:9" x14ac:dyDescent="0.2">
      <c r="A14" t="str">
        <f>Geraete!A14</f>
        <v>G0013</v>
      </c>
      <c r="B14" t="str">
        <f>Geraete!B14</f>
        <v>Drucker</v>
      </c>
      <c r="C14" t="str">
        <f>Geraete!C14</f>
        <v>Canon Pixma</v>
      </c>
      <c r="D14">
        <f>Geraete!E14</f>
        <v>1898.65</v>
      </c>
      <c r="E14">
        <f>COUNTIFS(Ausleihen!$A$2:$A$46,A14,Ausleihen!$D$2:$D$46,"")</f>
        <v>0</v>
      </c>
      <c r="F14" t="str">
        <f t="shared" si="0"/>
        <v>nicht im Einsatz</v>
      </c>
    </row>
    <row r="15" spans="1:9" x14ac:dyDescent="0.2">
      <c r="A15" t="str">
        <f>Geraete!A15</f>
        <v>G0014</v>
      </c>
      <c r="B15" t="str">
        <f>Geraete!B15</f>
        <v>Laptop</v>
      </c>
      <c r="C15" t="str">
        <f>Geraete!C15</f>
        <v>Lenovo ThinkPad</v>
      </c>
      <c r="D15">
        <f>Geraete!E15</f>
        <v>1415.97</v>
      </c>
      <c r="E15">
        <f>COUNTIFS(Ausleihen!$A$2:$A$46,A15,Ausleihen!$D$2:$D$46,"")</f>
        <v>0</v>
      </c>
      <c r="F15" t="str">
        <f t="shared" si="0"/>
        <v>nicht im Einsatz</v>
      </c>
    </row>
    <row r="16" spans="1:9" x14ac:dyDescent="0.2">
      <c r="A16" t="str">
        <f>Geraete!A16</f>
        <v>G0015</v>
      </c>
      <c r="B16" t="str">
        <f>Geraete!B16</f>
        <v>Smartphone</v>
      </c>
      <c r="C16" t="str">
        <f>Geraete!C16</f>
        <v>iPhone 13</v>
      </c>
      <c r="D16">
        <f>Geraete!E16</f>
        <v>661.44</v>
      </c>
      <c r="E16">
        <f>COUNTIFS(Ausleihen!$A$2:$A$46,A16,Ausleihen!$D$2:$D$46,"")</f>
        <v>1</v>
      </c>
      <c r="F16" t="str">
        <f t="shared" si="0"/>
        <v>im Einsatz</v>
      </c>
    </row>
    <row r="17" spans="1:6" x14ac:dyDescent="0.2">
      <c r="A17" t="str">
        <f>Geraete!A17</f>
        <v>G0016</v>
      </c>
      <c r="B17" t="str">
        <f>Geraete!B17</f>
        <v>Drucker</v>
      </c>
      <c r="C17" t="str">
        <f>Geraete!C17</f>
        <v>Canon Pixma</v>
      </c>
      <c r="D17">
        <f>Geraete!E17</f>
        <v>1501.06</v>
      </c>
      <c r="E17">
        <f>COUNTIFS(Ausleihen!$A$2:$A$46,A17,Ausleihen!$D$2:$D$46,"")</f>
        <v>1</v>
      </c>
      <c r="F17" t="str">
        <f t="shared" si="0"/>
        <v>im Einsatz</v>
      </c>
    </row>
    <row r="18" spans="1:6" x14ac:dyDescent="0.2">
      <c r="A18" t="str">
        <f>Geraete!A18</f>
        <v>G0017</v>
      </c>
      <c r="B18" t="str">
        <f>Geraete!B18</f>
        <v>Smartphone</v>
      </c>
      <c r="C18" t="str">
        <f>Geraete!C18</f>
        <v>Samsung S21</v>
      </c>
      <c r="D18">
        <f>Geraete!E18</f>
        <v>1748.56</v>
      </c>
      <c r="E18">
        <f>COUNTIFS(Ausleihen!$A$2:$A$46,A18,Ausleihen!$D$2:$D$46,"")</f>
        <v>0</v>
      </c>
      <c r="F18" t="str">
        <f t="shared" si="0"/>
        <v>nicht im Einsatz</v>
      </c>
    </row>
    <row r="19" spans="1:6" x14ac:dyDescent="0.2">
      <c r="A19" t="str">
        <f>Geraete!A19</f>
        <v>G0018</v>
      </c>
      <c r="B19" t="str">
        <f>Geraete!B19</f>
        <v>Tablet</v>
      </c>
      <c r="C19" t="str">
        <f>Geraete!C19</f>
        <v>iPad</v>
      </c>
      <c r="D19">
        <f>Geraete!E19</f>
        <v>1688.07</v>
      </c>
      <c r="E19">
        <f>COUNTIFS(Ausleihen!$A$2:$A$46,A19,Ausleihen!$D$2:$D$46,"")</f>
        <v>0</v>
      </c>
      <c r="F19" t="str">
        <f t="shared" si="0"/>
        <v>nicht im Einsatz</v>
      </c>
    </row>
    <row r="20" spans="1:6" x14ac:dyDescent="0.2">
      <c r="A20" t="str">
        <f>Geraete!A20</f>
        <v>G0019</v>
      </c>
      <c r="B20" t="str">
        <f>Geraete!B20</f>
        <v>Drucker</v>
      </c>
      <c r="C20" t="str">
        <f>Geraete!C20</f>
        <v>HP LaserJet</v>
      </c>
      <c r="D20">
        <f>Geraete!E20</f>
        <v>737.57</v>
      </c>
      <c r="E20">
        <f>COUNTIFS(Ausleihen!$A$2:$A$46,A20,Ausleihen!$D$2:$D$46,"")</f>
        <v>0</v>
      </c>
      <c r="F20" t="str">
        <f t="shared" si="0"/>
        <v>nicht im Einsatz</v>
      </c>
    </row>
    <row r="21" spans="1:6" x14ac:dyDescent="0.2">
      <c r="A21" t="str">
        <f>Geraete!A21</f>
        <v>G0020</v>
      </c>
      <c r="B21" t="str">
        <f>Geraete!B21</f>
        <v>Smartphone</v>
      </c>
      <c r="C21" t="str">
        <f>Geraete!C21</f>
        <v>Samsung S21</v>
      </c>
      <c r="D21">
        <f>Geraete!E21</f>
        <v>740.2</v>
      </c>
      <c r="E21">
        <f>COUNTIFS(Ausleihen!$A$2:$A$46,A21,Ausleihen!$D$2:$D$46,"")</f>
        <v>0</v>
      </c>
      <c r="F21" t="str">
        <f t="shared" si="0"/>
        <v>nicht im Einsatz</v>
      </c>
    </row>
    <row r="22" spans="1:6" x14ac:dyDescent="0.2">
      <c r="A22" t="str">
        <f>Geraete!A22</f>
        <v>G0021</v>
      </c>
      <c r="B22" t="str">
        <f>Geraete!B22</f>
        <v>Monitor</v>
      </c>
      <c r="C22" t="str">
        <f>Geraete!C22</f>
        <v>Samsung Curved</v>
      </c>
      <c r="D22">
        <f>Geraete!E22</f>
        <v>1134.1600000000001</v>
      </c>
      <c r="E22">
        <f>COUNTIFS(Ausleihen!$A$2:$A$46,A22,Ausleihen!$D$2:$D$46,"")</f>
        <v>0</v>
      </c>
      <c r="F22" t="str">
        <f t="shared" si="0"/>
        <v>nicht im Einsatz</v>
      </c>
    </row>
    <row r="23" spans="1:6" x14ac:dyDescent="0.2">
      <c r="A23" t="str">
        <f>Geraete!A23</f>
        <v>G0022</v>
      </c>
      <c r="B23" t="str">
        <f>Geraete!B23</f>
        <v>Tablet</v>
      </c>
      <c r="C23" t="str">
        <f>Geraete!C23</f>
        <v>iPad</v>
      </c>
      <c r="D23">
        <f>Geraete!E23</f>
        <v>1591.98</v>
      </c>
      <c r="E23">
        <f>COUNTIFS(Ausleihen!$A$2:$A$46,A23,Ausleihen!$D$2:$D$46,"")</f>
        <v>0</v>
      </c>
      <c r="F23" t="str">
        <f t="shared" si="0"/>
        <v>nicht im Einsatz</v>
      </c>
    </row>
    <row r="24" spans="1:6" x14ac:dyDescent="0.2">
      <c r="A24" t="str">
        <f>Geraete!A24</f>
        <v>G0023</v>
      </c>
      <c r="B24" t="str">
        <f>Geraete!B24</f>
        <v>Drucker</v>
      </c>
      <c r="C24" t="str">
        <f>Geraete!C24</f>
        <v>Canon Pixma</v>
      </c>
      <c r="D24">
        <f>Geraete!E24</f>
        <v>1335.34</v>
      </c>
      <c r="E24">
        <f>COUNTIFS(Ausleihen!$A$2:$A$46,A24,Ausleihen!$D$2:$D$46,"")</f>
        <v>0</v>
      </c>
      <c r="F24" t="str">
        <f t="shared" si="0"/>
        <v>nicht im Einsatz</v>
      </c>
    </row>
    <row r="25" spans="1:6" x14ac:dyDescent="0.2">
      <c r="A25" t="str">
        <f>Geraete!A25</f>
        <v>G0024</v>
      </c>
      <c r="B25" t="str">
        <f>Geraete!B25</f>
        <v>Monitor</v>
      </c>
      <c r="C25" t="str">
        <f>Geraete!C25</f>
        <v>Dell UltraSharp</v>
      </c>
      <c r="D25">
        <f>Geraete!E25</f>
        <v>750.91</v>
      </c>
      <c r="E25">
        <f>COUNTIFS(Ausleihen!$A$2:$A$46,A25,Ausleihen!$D$2:$D$46,"")</f>
        <v>1</v>
      </c>
      <c r="F25" t="str">
        <f t="shared" si="0"/>
        <v>im Einsatz</v>
      </c>
    </row>
    <row r="26" spans="1:6" x14ac:dyDescent="0.2">
      <c r="A26" t="str">
        <f>Geraete!A26</f>
        <v>G0025</v>
      </c>
      <c r="B26" t="str">
        <f>Geraete!B26</f>
        <v>Beamer</v>
      </c>
      <c r="C26" t="str">
        <f>Geraete!C26</f>
        <v>Epson EB</v>
      </c>
      <c r="D26">
        <f>Geraete!E26</f>
        <v>545.46</v>
      </c>
      <c r="E26">
        <f>COUNTIFS(Ausleihen!$A$2:$A$46,A26,Ausleihen!$D$2:$D$46,"")</f>
        <v>1</v>
      </c>
      <c r="F26" t="str">
        <f t="shared" si="0"/>
        <v>im Einsatz</v>
      </c>
    </row>
    <row r="27" spans="1:6" x14ac:dyDescent="0.2">
      <c r="A27" t="str">
        <f>Geraete!A27</f>
        <v>G0026</v>
      </c>
      <c r="B27" t="str">
        <f>Geraete!B27</f>
        <v>Laptop</v>
      </c>
      <c r="C27" t="str">
        <f>Geraete!C27</f>
        <v>Dell XPS</v>
      </c>
      <c r="D27">
        <f>Geraete!E27</f>
        <v>1403.91</v>
      </c>
      <c r="E27">
        <f>COUNTIFS(Ausleihen!$A$2:$A$46,A27,Ausleihen!$D$2:$D$46,"")</f>
        <v>0</v>
      </c>
      <c r="F27" t="str">
        <f t="shared" si="0"/>
        <v>nicht im Einsatz</v>
      </c>
    </row>
    <row r="28" spans="1:6" x14ac:dyDescent="0.2">
      <c r="A28" t="str">
        <f>Geraete!A28</f>
        <v>G0027</v>
      </c>
      <c r="B28" t="str">
        <f>Geraete!B28</f>
        <v>Monitor</v>
      </c>
      <c r="C28" t="str">
        <f>Geraete!C28</f>
        <v>Samsung Curved</v>
      </c>
      <c r="D28">
        <f>Geraete!E28</f>
        <v>501.64</v>
      </c>
      <c r="E28">
        <f>COUNTIFS(Ausleihen!$A$2:$A$46,A28,Ausleihen!$D$2:$D$46,"")</f>
        <v>0</v>
      </c>
      <c r="F28" t="str">
        <f t="shared" si="0"/>
        <v>nicht im Einsatz</v>
      </c>
    </row>
    <row r="29" spans="1:6" x14ac:dyDescent="0.2">
      <c r="A29" t="str">
        <f>Geraete!A29</f>
        <v>G0028</v>
      </c>
      <c r="B29" t="str">
        <f>Geraete!B29</f>
        <v>Beamer</v>
      </c>
      <c r="C29" t="str">
        <f>Geraete!C29</f>
        <v>Epson EB</v>
      </c>
      <c r="D29">
        <f>Geraete!E29</f>
        <v>1246.58</v>
      </c>
      <c r="E29">
        <f>COUNTIFS(Ausleihen!$A$2:$A$46,A29,Ausleihen!$D$2:$D$46,"")</f>
        <v>1</v>
      </c>
      <c r="F29" t="str">
        <f t="shared" si="0"/>
        <v>im Einsatz</v>
      </c>
    </row>
    <row r="30" spans="1:6" x14ac:dyDescent="0.2">
      <c r="A30" t="str">
        <f>Geraete!A30</f>
        <v>G0029</v>
      </c>
      <c r="B30" t="str">
        <f>Geraete!B30</f>
        <v>Laptop</v>
      </c>
      <c r="C30" t="str">
        <f>Geraete!C30</f>
        <v>Lenovo ThinkPad</v>
      </c>
      <c r="D30">
        <f>Geraete!E30</f>
        <v>1553.15</v>
      </c>
      <c r="E30">
        <f>COUNTIFS(Ausleihen!$A$2:$A$46,A30,Ausleihen!$D$2:$D$46,"")</f>
        <v>0</v>
      </c>
      <c r="F30" t="str">
        <f t="shared" si="0"/>
        <v>nicht im Einsatz</v>
      </c>
    </row>
    <row r="31" spans="1:6" x14ac:dyDescent="0.2">
      <c r="A31" t="str">
        <f>Geraete!A31</f>
        <v>G0030</v>
      </c>
      <c r="B31" t="str">
        <f>Geraete!B31</f>
        <v>Beamer</v>
      </c>
      <c r="C31" t="str">
        <f>Geraete!C31</f>
        <v>Epson EB</v>
      </c>
      <c r="D31">
        <f>Geraete!E31</f>
        <v>1629.76</v>
      </c>
      <c r="E31">
        <f>COUNTIFS(Ausleihen!$A$2:$A$46,A31,Ausleihen!$D$2:$D$46,"")</f>
        <v>0</v>
      </c>
      <c r="F31" t="str">
        <f t="shared" si="0"/>
        <v>nicht im Einsatz</v>
      </c>
    </row>
    <row r="32" spans="1:6" x14ac:dyDescent="0.2">
      <c r="A32" t="str">
        <f>Geraete!A32</f>
        <v>G0031</v>
      </c>
      <c r="B32" t="str">
        <f>Geraete!B32</f>
        <v>Laptop</v>
      </c>
      <c r="C32" t="str">
        <f>Geraete!C32</f>
        <v>HP EliteBook</v>
      </c>
      <c r="D32">
        <f>Geraete!E32</f>
        <v>1095.6199999999999</v>
      </c>
      <c r="E32">
        <f>COUNTIFS(Ausleihen!$A$2:$A$46,A32,Ausleihen!$D$2:$D$46,"")</f>
        <v>2</v>
      </c>
      <c r="F32" t="str">
        <f t="shared" si="0"/>
        <v>im Einsatz</v>
      </c>
    </row>
    <row r="33" spans="1:6" x14ac:dyDescent="0.2">
      <c r="A33" t="str">
        <f>Geraete!A33</f>
        <v>G0032</v>
      </c>
      <c r="B33" t="str">
        <f>Geraete!B33</f>
        <v>Laptop</v>
      </c>
      <c r="C33" t="str">
        <f>Geraete!C33</f>
        <v>Lenovo ThinkPad</v>
      </c>
      <c r="D33">
        <f>Geraete!E33</f>
        <v>1801.36</v>
      </c>
      <c r="E33">
        <f>COUNTIFS(Ausleihen!$A$2:$A$46,A33,Ausleihen!$D$2:$D$46,"")</f>
        <v>0</v>
      </c>
      <c r="F33" t="str">
        <f t="shared" si="0"/>
        <v>nicht im Einsatz</v>
      </c>
    </row>
    <row r="34" spans="1:6" x14ac:dyDescent="0.2">
      <c r="A34" t="str">
        <f>Geraete!A34</f>
        <v>G0033</v>
      </c>
      <c r="B34" t="str">
        <f>Geraete!B34</f>
        <v>Beamer</v>
      </c>
      <c r="C34" t="str">
        <f>Geraete!C34</f>
        <v>BenQ MW550</v>
      </c>
      <c r="D34">
        <f>Geraete!E34</f>
        <v>1212.29</v>
      </c>
      <c r="E34">
        <f>COUNTIFS(Ausleihen!$A$2:$A$46,A34,Ausleihen!$D$2:$D$46,"")</f>
        <v>1</v>
      </c>
      <c r="F34" t="str">
        <f t="shared" si="0"/>
        <v>im Einsatz</v>
      </c>
    </row>
    <row r="35" spans="1:6" x14ac:dyDescent="0.2">
      <c r="A35" t="str">
        <f>Geraete!A35</f>
        <v>G0034</v>
      </c>
      <c r="B35" t="str">
        <f>Geraete!B35</f>
        <v>Smartphone</v>
      </c>
      <c r="C35" t="str">
        <f>Geraete!C35</f>
        <v>Samsung S21</v>
      </c>
      <c r="D35">
        <f>Geraete!E35</f>
        <v>1746.67</v>
      </c>
      <c r="E35">
        <f>COUNTIFS(Ausleihen!$A$2:$A$46,A35,Ausleihen!$D$2:$D$46,"")</f>
        <v>0</v>
      </c>
      <c r="F35" t="str">
        <f t="shared" si="0"/>
        <v>nicht im Einsatz</v>
      </c>
    </row>
    <row r="36" spans="1:6" x14ac:dyDescent="0.2">
      <c r="A36" t="str">
        <f>Geraete!A36</f>
        <v>G0035</v>
      </c>
      <c r="B36" t="str">
        <f>Geraete!B36</f>
        <v>Beamer</v>
      </c>
      <c r="C36" t="str">
        <f>Geraete!C36</f>
        <v>BenQ MW550</v>
      </c>
      <c r="D36">
        <f>Geraete!E36</f>
        <v>644.54</v>
      </c>
      <c r="E36">
        <f>COUNTIFS(Ausleihen!$A$2:$A$46,A36,Ausleihen!$D$2:$D$46,"")</f>
        <v>4</v>
      </c>
      <c r="F36" t="str">
        <f t="shared" si="0"/>
        <v>im Einsatz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3"/>
  <sheetViews>
    <sheetView zoomScale="150" workbookViewId="0">
      <selection activeCell="F19" sqref="F19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5" width="12" customWidth="1"/>
    <col min="6" max="6" width="18" customWidth="1"/>
    <col min="7" max="7" width="12" customWidth="1"/>
    <col min="8" max="8" width="16" customWidth="1"/>
    <col min="9" max="9" width="15" customWidth="1"/>
    <col min="10" max="10" width="36" customWidth="1"/>
    <col min="11" max="11" width="13" customWidth="1"/>
    <col min="12" max="12" width="20" customWidth="1"/>
    <col min="13" max="13" width="60" customWidth="1"/>
  </cols>
  <sheetData>
    <row r="1" spans="1:13" x14ac:dyDescent="0.2">
      <c r="A1" s="1" t="s">
        <v>0</v>
      </c>
      <c r="B1" s="1" t="s">
        <v>65</v>
      </c>
      <c r="C1" s="1" t="s">
        <v>84</v>
      </c>
      <c r="D1" s="1" t="s">
        <v>85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86</v>
      </c>
      <c r="J1" s="1" t="s">
        <v>66</v>
      </c>
      <c r="K1" s="1" t="s">
        <v>67</v>
      </c>
      <c r="L1" s="1" t="s">
        <v>87</v>
      </c>
      <c r="M1" s="1"/>
    </row>
    <row r="2" spans="1:13" x14ac:dyDescent="0.2">
      <c r="A2" t="s">
        <v>30</v>
      </c>
      <c r="B2">
        <v>1011</v>
      </c>
      <c r="C2" s="2">
        <v>45850</v>
      </c>
      <c r="D2" s="2">
        <v>45853</v>
      </c>
      <c r="E2" t="s">
        <v>16</v>
      </c>
      <c r="F2" t="s">
        <v>17</v>
      </c>
      <c r="G2" s="2">
        <v>45026</v>
      </c>
      <c r="H2">
        <v>1458.02</v>
      </c>
      <c r="I2" t="s">
        <v>12</v>
      </c>
      <c r="J2" t="s">
        <v>82</v>
      </c>
      <c r="K2" t="s">
        <v>69</v>
      </c>
      <c r="L2" t="s">
        <v>26</v>
      </c>
    </row>
    <row r="3" spans="1:13" x14ac:dyDescent="0.2">
      <c r="A3" t="s">
        <v>56</v>
      </c>
      <c r="B3">
        <v>1002</v>
      </c>
      <c r="C3" s="2">
        <v>45921</v>
      </c>
      <c r="D3" s="2">
        <v>45934</v>
      </c>
      <c r="E3" t="s">
        <v>16</v>
      </c>
      <c r="F3" t="s">
        <v>25</v>
      </c>
      <c r="G3" s="2">
        <v>44337</v>
      </c>
      <c r="H3">
        <v>1553.15</v>
      </c>
      <c r="I3" t="s">
        <v>26</v>
      </c>
      <c r="J3" t="s">
        <v>70</v>
      </c>
      <c r="K3" t="s">
        <v>69</v>
      </c>
      <c r="L3" t="s">
        <v>9</v>
      </c>
    </row>
    <row r="4" spans="1:13" x14ac:dyDescent="0.2">
      <c r="A4" t="s">
        <v>58</v>
      </c>
      <c r="B4">
        <v>1004</v>
      </c>
      <c r="C4" s="2">
        <v>45320</v>
      </c>
      <c r="D4" s="2"/>
      <c r="E4" t="s">
        <v>16</v>
      </c>
      <c r="F4" t="s">
        <v>59</v>
      </c>
      <c r="G4" s="2">
        <v>45775</v>
      </c>
      <c r="H4">
        <v>1095.6199999999999</v>
      </c>
      <c r="I4" t="s">
        <v>12</v>
      </c>
      <c r="J4" t="s">
        <v>73</v>
      </c>
      <c r="K4" t="s">
        <v>74</v>
      </c>
      <c r="L4" t="s">
        <v>26</v>
      </c>
    </row>
    <row r="5" spans="1:13" x14ac:dyDescent="0.2">
      <c r="A5" t="s">
        <v>24</v>
      </c>
      <c r="B5">
        <v>1001</v>
      </c>
      <c r="C5" s="2">
        <v>45544</v>
      </c>
      <c r="D5" s="2">
        <v>45854</v>
      </c>
      <c r="E5" t="s">
        <v>16</v>
      </c>
      <c r="F5" t="s">
        <v>25</v>
      </c>
      <c r="G5" s="2">
        <v>44360</v>
      </c>
      <c r="H5">
        <v>869.09</v>
      </c>
      <c r="I5" t="s">
        <v>26</v>
      </c>
      <c r="J5" t="s">
        <v>68</v>
      </c>
      <c r="K5" t="s">
        <v>69</v>
      </c>
      <c r="L5" t="s">
        <v>9</v>
      </c>
    </row>
    <row r="6" spans="1:13" x14ac:dyDescent="0.2">
      <c r="A6" t="s">
        <v>24</v>
      </c>
      <c r="B6">
        <v>1001</v>
      </c>
      <c r="C6" s="2">
        <v>45880</v>
      </c>
      <c r="D6" s="2"/>
      <c r="E6" t="s">
        <v>16</v>
      </c>
      <c r="F6" t="s">
        <v>25</v>
      </c>
      <c r="G6" s="2">
        <v>44360</v>
      </c>
      <c r="H6">
        <v>869.09</v>
      </c>
      <c r="I6" t="s">
        <v>26</v>
      </c>
      <c r="J6" t="s">
        <v>68</v>
      </c>
      <c r="K6" t="s">
        <v>69</v>
      </c>
      <c r="L6" t="s">
        <v>9</v>
      </c>
    </row>
    <row r="7" spans="1:13" x14ac:dyDescent="0.2">
      <c r="A7" t="s">
        <v>58</v>
      </c>
      <c r="B7">
        <v>1004</v>
      </c>
      <c r="C7" s="2">
        <v>45336</v>
      </c>
      <c r="D7" s="2"/>
      <c r="E7" t="s">
        <v>16</v>
      </c>
      <c r="F7" t="s">
        <v>59</v>
      </c>
      <c r="G7" s="2">
        <v>45775</v>
      </c>
      <c r="H7">
        <v>1095.6199999999999</v>
      </c>
      <c r="I7" t="s">
        <v>12</v>
      </c>
      <c r="J7" t="s">
        <v>73</v>
      </c>
      <c r="K7" t="s">
        <v>74</v>
      </c>
      <c r="L7" t="s">
        <v>26</v>
      </c>
    </row>
    <row r="8" spans="1:13" x14ac:dyDescent="0.2">
      <c r="A8" t="s">
        <v>15</v>
      </c>
      <c r="B8">
        <v>1003</v>
      </c>
      <c r="C8" s="2">
        <v>45827</v>
      </c>
      <c r="D8" s="2">
        <v>45908</v>
      </c>
      <c r="E8" t="s">
        <v>16</v>
      </c>
      <c r="F8" t="s">
        <v>17</v>
      </c>
      <c r="G8" s="2">
        <v>45782</v>
      </c>
      <c r="H8">
        <v>1007.88</v>
      </c>
      <c r="I8" t="s">
        <v>12</v>
      </c>
      <c r="J8" t="s">
        <v>71</v>
      </c>
      <c r="K8" t="s">
        <v>72</v>
      </c>
      <c r="L8" t="s">
        <v>26</v>
      </c>
    </row>
    <row r="9" spans="1:13" x14ac:dyDescent="0.2">
      <c r="A9" t="s">
        <v>60</v>
      </c>
      <c r="B9">
        <v>1003</v>
      </c>
      <c r="C9" s="2">
        <v>45508</v>
      </c>
      <c r="D9" s="2">
        <v>45871</v>
      </c>
      <c r="E9" t="s">
        <v>16</v>
      </c>
      <c r="F9" t="s">
        <v>25</v>
      </c>
      <c r="G9" s="2">
        <v>44876</v>
      </c>
      <c r="H9">
        <v>1801.36</v>
      </c>
      <c r="I9" t="s">
        <v>12</v>
      </c>
      <c r="J9" t="s">
        <v>71</v>
      </c>
      <c r="K9" t="s">
        <v>72</v>
      </c>
      <c r="L9" t="s">
        <v>26</v>
      </c>
    </row>
    <row r="10" spans="1:13" x14ac:dyDescent="0.2">
      <c r="A10" t="s">
        <v>36</v>
      </c>
      <c r="B10">
        <v>1001</v>
      </c>
      <c r="C10" s="2">
        <v>45622</v>
      </c>
      <c r="D10" s="2">
        <v>45719</v>
      </c>
      <c r="E10" t="s">
        <v>16</v>
      </c>
      <c r="F10" t="s">
        <v>25</v>
      </c>
      <c r="G10" s="2">
        <v>44258</v>
      </c>
      <c r="H10">
        <v>1415.97</v>
      </c>
      <c r="I10" t="s">
        <v>26</v>
      </c>
      <c r="J10" t="s">
        <v>68</v>
      </c>
      <c r="K10" t="s">
        <v>69</v>
      </c>
      <c r="L10" t="s">
        <v>9</v>
      </c>
    </row>
    <row r="11" spans="1:13" x14ac:dyDescent="0.2">
      <c r="A11" t="s">
        <v>15</v>
      </c>
      <c r="B11">
        <v>1001</v>
      </c>
      <c r="C11" s="2">
        <v>45880</v>
      </c>
      <c r="D11" s="2">
        <v>45881</v>
      </c>
      <c r="E11" t="s">
        <v>16</v>
      </c>
      <c r="F11" t="s">
        <v>17</v>
      </c>
      <c r="G11" s="2">
        <v>45782</v>
      </c>
      <c r="H11">
        <v>1007.88</v>
      </c>
      <c r="I11" t="s">
        <v>12</v>
      </c>
      <c r="J11" t="s">
        <v>68</v>
      </c>
      <c r="K11" t="s">
        <v>69</v>
      </c>
      <c r="L11" t="s">
        <v>9</v>
      </c>
    </row>
    <row r="13" spans="1:13" x14ac:dyDescent="0.2">
      <c r="A13" s="1"/>
    </row>
  </sheetData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F677-4B46-2C44-8741-4373355C8BA0}">
  <dimension ref="A3:J11"/>
  <sheetViews>
    <sheetView zoomScale="89" workbookViewId="0">
      <selection activeCell="M15" sqref="M15"/>
    </sheetView>
  </sheetViews>
  <sheetFormatPr baseColWidth="10" defaultRowHeight="15" x14ac:dyDescent="0.2"/>
  <cols>
    <col min="1" max="1" width="16" bestFit="1" customWidth="1"/>
    <col min="2" max="2" width="20.83203125" customWidth="1"/>
    <col min="6" max="6" width="20" bestFit="1" customWidth="1"/>
    <col min="7" max="7" width="14.83203125" bestFit="1" customWidth="1"/>
    <col min="8" max="8" width="8.1640625" bestFit="1" customWidth="1"/>
    <col min="9" max="9" width="8.33203125" bestFit="1" customWidth="1"/>
    <col min="10" max="10" width="10" bestFit="1" customWidth="1"/>
  </cols>
  <sheetData>
    <row r="3" spans="1:10" x14ac:dyDescent="0.2">
      <c r="A3" s="7" t="s">
        <v>101</v>
      </c>
      <c r="B3" t="s">
        <v>104</v>
      </c>
      <c r="F3" s="7" t="s">
        <v>104</v>
      </c>
      <c r="G3" s="7" t="s">
        <v>103</v>
      </c>
    </row>
    <row r="4" spans="1:10" x14ac:dyDescent="0.2">
      <c r="A4" s="8" t="s">
        <v>28</v>
      </c>
      <c r="B4" s="9">
        <v>12</v>
      </c>
      <c r="F4" s="7" t="s">
        <v>101</v>
      </c>
      <c r="G4" t="s">
        <v>9</v>
      </c>
      <c r="H4" t="s">
        <v>26</v>
      </c>
      <c r="I4" t="s">
        <v>12</v>
      </c>
      <c r="J4" t="s">
        <v>102</v>
      </c>
    </row>
    <row r="5" spans="1:10" x14ac:dyDescent="0.2">
      <c r="A5" s="8" t="s">
        <v>19</v>
      </c>
      <c r="B5" s="9">
        <v>12</v>
      </c>
      <c r="F5" s="8" t="s">
        <v>28</v>
      </c>
      <c r="G5" s="9">
        <v>7</v>
      </c>
      <c r="H5" s="9">
        <v>3</v>
      </c>
      <c r="I5" s="9">
        <v>2</v>
      </c>
      <c r="J5" s="9">
        <v>12</v>
      </c>
    </row>
    <row r="6" spans="1:10" x14ac:dyDescent="0.2">
      <c r="A6" s="8" t="s">
        <v>16</v>
      </c>
      <c r="B6" s="9">
        <v>10</v>
      </c>
      <c r="F6" s="8" t="s">
        <v>19</v>
      </c>
      <c r="G6" s="9">
        <v>9</v>
      </c>
      <c r="H6" s="9">
        <v>2</v>
      </c>
      <c r="I6" s="9">
        <v>1</v>
      </c>
      <c r="J6" s="9">
        <v>12</v>
      </c>
    </row>
    <row r="7" spans="1:10" x14ac:dyDescent="0.2">
      <c r="A7" s="8" t="s">
        <v>46</v>
      </c>
      <c r="B7" s="9">
        <v>4</v>
      </c>
      <c r="F7" s="8" t="s">
        <v>16</v>
      </c>
      <c r="G7" s="9"/>
      <c r="H7" s="9">
        <v>4</v>
      </c>
      <c r="I7" s="9">
        <v>6</v>
      </c>
      <c r="J7" s="9">
        <v>10</v>
      </c>
    </row>
    <row r="8" spans="1:10" x14ac:dyDescent="0.2">
      <c r="A8" s="8" t="s">
        <v>22</v>
      </c>
      <c r="B8" s="9">
        <v>4</v>
      </c>
      <c r="F8" s="8" t="s">
        <v>46</v>
      </c>
      <c r="G8" s="9">
        <v>2</v>
      </c>
      <c r="H8" s="9"/>
      <c r="I8" s="9">
        <v>2</v>
      </c>
      <c r="J8" s="9">
        <v>4</v>
      </c>
    </row>
    <row r="9" spans="1:10" x14ac:dyDescent="0.2">
      <c r="A9" s="8" t="s">
        <v>7</v>
      </c>
      <c r="B9" s="9">
        <v>3</v>
      </c>
      <c r="F9" s="8" t="s">
        <v>22</v>
      </c>
      <c r="G9" s="9"/>
      <c r="H9" s="9"/>
      <c r="I9" s="9">
        <v>4</v>
      </c>
      <c r="J9" s="9">
        <v>4</v>
      </c>
    </row>
    <row r="10" spans="1:10" x14ac:dyDescent="0.2">
      <c r="A10" s="8" t="s">
        <v>102</v>
      </c>
      <c r="B10" s="9">
        <v>45</v>
      </c>
      <c r="F10" s="8" t="s">
        <v>7</v>
      </c>
      <c r="G10" s="9"/>
      <c r="H10" s="9">
        <v>2</v>
      </c>
      <c r="I10" s="9">
        <v>1</v>
      </c>
      <c r="J10" s="9">
        <v>3</v>
      </c>
    </row>
    <row r="11" spans="1:10" x14ac:dyDescent="0.2">
      <c r="F11" s="8" t="s">
        <v>102</v>
      </c>
      <c r="G11" s="9">
        <v>18</v>
      </c>
      <c r="H11" s="9">
        <v>11</v>
      </c>
      <c r="I11" s="9">
        <v>16</v>
      </c>
      <c r="J11" s="9">
        <v>45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Mitarbeiter</vt:lpstr>
      <vt:lpstr>Geraete</vt:lpstr>
      <vt:lpstr>Ausleihen</vt:lpstr>
      <vt:lpstr>Geraete_Ausleihen</vt:lpstr>
      <vt:lpstr>Gesamt</vt:lpstr>
      <vt:lpstr>D1_Einsatz</vt:lpstr>
      <vt:lpstr>D2_Laptop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Trinh, Thai</cp:lastModifiedBy>
  <dcterms:created xsi:type="dcterms:W3CDTF">2026-10-10T11:54:40Z</dcterms:created>
  <dcterms:modified xsi:type="dcterms:W3CDTF">2026-10-10T13:22:05Z</dcterms:modified>
</cp:coreProperties>
</file>